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eability" sheetId="1" state="visible" r:id="rId3"/>
    <sheet name="L1" sheetId="2" state="visible" r:id="rId4"/>
    <sheet name="L2" sheetId="3" state="visible" r:id="rId5"/>
    <sheet name="Actions" sheetId="4" state="visible" r:id="rId6"/>
    <sheet name="TBD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<sst xmlns="http://schemas.openxmlformats.org/spreadsheetml/2006/main" count="632" uniqueCount="328">
  <si>
    <t xml:space="preserve">C2G Traceability Matrix — L1 × L2 cross-reference</t>
  </si>
  <si>
    <t xml:space="preserve">L1 ID</t>
  </si>
  <si>
    <t xml:space="preserve">L1 title</t>
  </si>
  <si>
    <t xml:space="preserve">C2G-L2-AI-001</t>
  </si>
  <si>
    <t xml:space="preserve">C2G-L2-AI-002</t>
  </si>
  <si>
    <t xml:space="preserve">C2G-L2-NET-001</t>
  </si>
  <si>
    <t xml:space="preserve">C2G-L2-MOD-001</t>
  </si>
  <si>
    <t xml:space="preserve">C2G-L2-GUI-001</t>
  </si>
  <si>
    <t xml:space="preserve">C2G-L2-BRG-001</t>
  </si>
  <si>
    <t xml:space="preserve">C2G-L2-OPS-001</t>
  </si>
  <si>
    <t xml:space="preserve">C2G-L2-AI-003</t>
  </si>
  <si>
    <t xml:space="preserve">C2G-L2-AI-004</t>
  </si>
  <si>
    <t xml:space="preserve">C2G-L2-BRG-002</t>
  </si>
  <si>
    <t xml:space="preserve">C2G-L2-PWR-001</t>
  </si>
  <si>
    <t xml:space="preserve">C2G-L2-PWR-002</t>
  </si>
  <si>
    <t xml:space="preserve">C2G-L2-AI-007</t>
  </si>
  <si>
    <t xml:space="preserve">C2G-L2-BRG-003</t>
  </si>
  <si>
    <t xml:space="preserve">C2G-L2-PLAT-001</t>
  </si>
  <si>
    <t xml:space="preserve">C2G-L2-PLAT-002</t>
  </si>
  <si>
    <t xml:space="preserve">C2G-L2-OPS-002</t>
  </si>
  <si>
    <t xml:space="preserve">C2G-L2-OPS-003</t>
  </si>
  <si>
    <t xml:space="preserve">C2G-L2-OPS-004</t>
  </si>
  <si>
    <t xml:space="preserve">C2G-L2-GUI-005</t>
  </si>
  <si>
    <t xml:space="preserve">C2G-L2-GUI-006</t>
  </si>
  <si>
    <t xml:space="preserve">C2G-L2-OPS-005</t>
  </si>
  <si>
    <t xml:space="preserve">C2G-L2-AI-008</t>
  </si>
  <si>
    <t xml:space="preserve">C2G-L2-GUI-007</t>
  </si>
  <si>
    <t xml:space="preserve">C2G-L2-OPS-006</t>
  </si>
  <si>
    <t xml:space="preserve">C2G-L2-OPS-007</t>
  </si>
  <si>
    <t xml:space="preserve">C2G-L2-OPS-008</t>
  </si>
  <si>
    <t xml:space="preserve">C2G-L2-GUI-008</t>
  </si>
  <si>
    <t xml:space="preserve">C2G-L2-GUI-009</t>
  </si>
  <si>
    <t xml:space="preserve">C2G-L2-GUI-010</t>
  </si>
  <si>
    <t xml:space="preserve">C2G-L2-GUI-011</t>
  </si>
  <si>
    <t xml:space="preserve">C2G-L2-OPS-009</t>
  </si>
  <si>
    <t xml:space="preserve">C2G-L2-OPS-010</t>
  </si>
  <si>
    <t xml:space="preserve">C2G-L2-OPS-011</t>
  </si>
  <si>
    <t xml:space="preserve">C2G-L1-PRD-001</t>
  </si>
  <si>
    <t xml:space="preserve">Off-grid conversational availability</t>
  </si>
  <si>
    <t xml:space="preserve">●</t>
  </si>
  <si>
    <t xml:space="preserve">C2G-L1-PRD-002</t>
  </si>
  <si>
    <t xml:space="preserve">Cloud-cost reduction via delegation</t>
  </si>
  <si>
    <t xml:space="preserve">C2G-L1-PRD-003</t>
  </si>
  <si>
    <t xml:space="preserve">Installer transparency and data sovereignty</t>
  </si>
  <si>
    <t xml:space="preserve">C2G-L1-PRD-004</t>
  </si>
  <si>
    <t xml:space="preserve">Mains-independent operation</t>
  </si>
  <si>
    <t xml:space="preserve">C2G-L1-PRD-005</t>
  </si>
  <si>
    <t xml:space="preserve">Non-developer accessibility</t>
  </si>
  <si>
    <t xml:space="preserve">C2G-L1-PRD-006</t>
  </si>
  <si>
    <t xml:space="preserve">Energy and carbon transparency</t>
  </si>
  <si>
    <t xml:space="preserve">● = L2 derives from this L1</t>
  </si>
  <si>
    <t xml:space="preserve">ID</t>
  </si>
  <si>
    <t xml:space="preserve">CAT</t>
  </si>
  <si>
    <t xml:space="preserve">Title</t>
  </si>
  <si>
    <t xml:space="preserve">Shall</t>
  </si>
  <si>
    <t xml:space="preserve">Value</t>
  </si>
  <si>
    <t xml:space="preserve">Status</t>
  </si>
  <si>
    <t xml:space="preserve">TBD count</t>
  </si>
  <si>
    <t xml:space="preserve"># L2 children</t>
  </si>
  <si>
    <t xml:space="preserve">Check method</t>
  </si>
  <si>
    <t xml:space="preserve">PRD</t>
  </si>
  <si>
    <t xml:space="preserve">The system shall enable the user to hold a conversational AI session on the host Mac when no internet connection is available.</t>
  </si>
  <si>
    <t xml:space="preserve">Conversational session = a multi-turn exchange with coherent context across at least 5 turns.</t>
  </si>
  <si>
    <t xml:space="preserve">baselined</t>
  </si>
  <si>
    <t xml:space="preserve">Demonstration. With network disabled at the OS level, complete a ≥5-turn conversation in the C2G app's Ground chat window that produces useful output for at least 3 representative task types (Q&amp;A, short code, summarization).</t>
  </si>
  <si>
    <t xml:space="preserve">When the user is online, the system shall reduce cloud-AI token consumption for a representative mixed workload, relative to a cloud-only baseline, by routing mechanical subtasks to a local AI.</t>
  </si>
  <si>
    <t xml:space="preserve">Target: ≥50% cloud token reduction on the representative C2G workload (set 2026-06-27 per Andrew). CBE must be ≥60% with 20% margin to claim 50% as closed. The workload itself is observed continuously via delegation telemetry (see L2-OPS-006) rather than defined as a fixed benchmark — ACT-001 stays open as ongoing observation rather than a one-shot definition.</t>
  </si>
  <si>
    <t xml:space="preserve">Analysis + bench measurement. Define benchmark workload, run it against cloud-only and cloud+bridge configurations, compare token counts.</t>
  </si>
  <si>
    <t xml:space="preserve">The C2G app shall be transparent about what it installs and modifies on the user's machine (Ollama, local model, ollama-delegate skill in Cowork, LaunchAgent for the bridge watcher) and shall provide a status panel showing the current state of every component it manages. All user content (conversations, files, delegation logs) shall remain on the user's machine by default; any upload channel (feedback, anonymized usage) shall require explicit, granular, revocable opt-in.</t>
  </si>
  <si>
    <t xml:space="preserve">Status panel shows: Ollama running yes/no, model loaded (name + tier), bridge watcher running yes/no, skill version installed in Cowork, last skill update, opt-in channel states. Default behavior: zero user content leaves the machine. Opt-in upload channels are individually toggleable and off by default.</t>
  </si>
  <si>
    <t xml:space="preserve">Inspection of status panel + bench test (network monitor) confirming zero outbound traffic when all opt-in channels are off; correct traffic only on opted-in channels. Inspection of installer-side changes (Keychain entries, LaunchAgent registration, skill install location) matches what status panel reports.</t>
  </si>
  <si>
    <t xml:space="preserve">The system shall be capable of completing useful AI conversations on the host Mac without requiring mains power assist, when operating in Ground mode.</t>
  </si>
  <si>
    <t xml:space="preserve">TBD — define energy-per-conversation target (CBE: ≤ X Wh per representative 5-turn session) and the reference workload it is measured against. Open action ACT-003 / ACT-004.</t>
  </si>
  <si>
    <t xml:space="preserve">Bench measurement on reference machine (M5 Air, 24 GB) with mains disconnected, measuring battery delta per representative session.</t>
  </si>
  <si>
    <t xml:space="preserve">A non-developer user shall be able to install, configure, and use the system to completion of a conversational session without editing config files or using a terminal.</t>
  </si>
  <si>
    <t xml:space="preserve">First-run success rate ≥ 90% in user trials with non-technical users (operational; not yet measurable in current state).</t>
  </si>
  <si>
    <t xml:space="preserve">User trial. Recruit ≥3 non-technical users, observe install and first conversation, count successes.</t>
  </si>
  <si>
    <t xml:space="preserve">The system shall display to the user an estimate of the energy consumed and carbon impact of each conversation, calibrated where possible to the user's location and power source, so the user can see what each operating mode actually costs in environmental terms.</t>
  </si>
  <si>
    <t xml:space="preserve">Per-conversation kWh estimate + g CO2e estimate, accessible from the conversation UI. Initial implementation uses national-average grid mix; refined to zip-code-derived grid mix when the user provides their location.</t>
  </si>
  <si>
    <t xml:space="preserve">Inspection (does the GUI display the estimate?) + verification of the energy estimate against published per-token energy data for cloud and local inference + verification of the grid mix lookup against a public source.</t>
  </si>
  <si>
    <t xml:space="preserve">Parent L1(s)</t>
  </si>
  <si>
    <t xml:space="preserve">Margin</t>
  </si>
  <si>
    <t xml:space="preserve">AI</t>
  </si>
  <si>
    <t xml:space="preserve">Local model conversational capability</t>
  </si>
  <si>
    <t xml:space="preserve">The bundled local model shall produce useful responses across at least 5 conversational turns with coherent context, on the reference machine, with no internet, for the representative C2G workload.</t>
  </si>
  <si>
    <t xml:space="preserve">≥5 turns; usefulness ≥ '3 of 3 representative task types' per PRD-001 check.</t>
  </si>
  <si>
    <t xml:space="preserve">Carry one model size larger than minimum-passing as a fallback option (cheap insurance — change is free on the ground).</t>
  </si>
  <si>
    <t xml:space="preserve">draft</t>
  </si>
  <si>
    <t xml:space="preserve">Bench test on reference machine — 5-turn conversation against the representative workload (per ACT-001), no network.</t>
  </si>
  <si>
    <t xml:space="preserve">Local model context window adequacy</t>
  </si>
  <si>
    <t xml:space="preserve">The local model's effective context window shall accommodate at least 5 turns of representative user input plus model response without context truncation that breaks coherence. Tasks whose prompt or expected output exceed the available local context budget shall be routed to Claude rather than truncated.</t>
  </si>
  <si>
    <t xml:space="preserve">Effective context ≥ measured average 5-turn token sum × 1.2 for the tier in use. Long-context routing decision happens before delegation.</t>
  </si>
  <si>
    <t xml:space="preserve">20% headroom embedded in the value (consistent with default margin policy).</t>
  </si>
  <si>
    <t xml:space="preserve">Analysis — count tokens in representative 5-turn sessions, compare to per-tier model context size. Bench-test that overflow prompts route to Claude rather than truncate.</t>
  </si>
  <si>
    <t xml:space="preserve">Delegation routing policy</t>
  </si>
  <si>
    <t xml:space="preserve">In Hybrid mode the system shall route subtasks to the local model only when (a) the subtask is well-specified in a short prompt and (b) the expected output quality is achievable by the local model for that task class. For non-code delegations, Claude shall verify the local model's output for hallucinations or factual errors before presenting it to the user. For code delegations, no verification pass is required because correctness is established at compile/run time.</t>
  </si>
  <si>
    <t xml:space="preserve">Mis-route rate (delegations the cloud has to fully rewrite) ≤ 10% on the observed workload. Non-code delegations carry a Claude verification step before display. Verification overhead ≤ 30% of the original cloud-only cost for that delegation.</t>
  </si>
  <si>
    <t xml:space="preserve">20% on mis-route rate (CBE ≤ 8% to claim ≤ 10% closed).</t>
  </si>
  <si>
    <t xml:space="preserve">Bench test — run observed workload through Hybrid mode, tag each delegation as kept-verbatim / patched / rewritten, compute rates. Separately verify non-code delegations carry a verification pass.</t>
  </si>
  <si>
    <t xml:space="preserve">Local model output usability for delegated tasks</t>
  </si>
  <si>
    <t xml:space="preserve">For delegated subtasks meeting the routing policy, the local model shall produce output usable verbatim or with minor patches (per the ollama-delegate cost model) on at least 75% of attempts.</t>
  </si>
  <si>
    <t xml:space="preserve">≥ 75% verbatim-or-patched (CBE: ≥ 80% with 20% margin).</t>
  </si>
  <si>
    <t xml:space="preserve">20%.</t>
  </si>
  <si>
    <t xml:space="preserve">Bench test as part of ACT-001 workload — classify each delegation outcome.</t>
  </si>
  <si>
    <t xml:space="preserve">Tiered local model memory footprint</t>
  </si>
  <si>
    <t xml:space="preserve">The system shall ship two local-model tiers from the Granite 4.1 family: small (granite4.1:8b at Q4, ~5 GB resident) for Apple Silicon Macs with ≥16 GB RAM, and large (granite4.1:30b at Q4, ~18 GB resident) for Macs with ≥24 GB RAM. At runtime, only one tier is resident; the user picks at install or the system auto-detects machine capability and recommends.</t>
  </si>
  <si>
    <t xml:space="preserve">Tier-small: granite4.1:8b at Q4, ~5 GB resident. Tier-large: granite4.1:30b at Q4, ~18 GB resident. Only one tier loaded at a time. Practical context window: 32K–128K tokens depending on tier and available memory.</t>
  </si>
  <si>
    <t xml:space="preserve">Implicit headroom of 50%+ of total RAM per tier — small tier on 16 GB Mac leaves 11 GB free; large tier on 24 GB Mac leaves 6 GB free.</t>
  </si>
  <si>
    <t xml:space="preserve">Inspection of model + runtime memory footprint per tier, while loaded and active. Bench test on representative hardware (16 GB and 24 GB Apple Silicon Macs).</t>
  </si>
  <si>
    <t xml:space="preserve">Per-response energy estimate</t>
  </si>
  <si>
    <t xml:space="preserve">Every AI response (cloud or local) shall carry an estimated energy cost (Wh) computed from the response's token count and a per-token Wh constant specific to the model and inference location.</t>
  </si>
  <si>
    <t xml:space="preserve">Per-response Wh estimate is non-zero, monotonically scales with response token count, and is reproducible from the model + token count + lookup constant.</t>
  </si>
  <si>
    <t xml:space="preserve">Initial estimates carry ±50% uncertainty; refined as measurement matures. UI presents estimates with appropriate hedging language.</t>
  </si>
  <si>
    <t xml:space="preserve">Analysis — review the per-token constants against published references + bench measurement on the reference machine for local. Inspection that the estimate appears on each response.</t>
  </si>
  <si>
    <t xml:space="preserve">MOD</t>
  </si>
  <si>
    <t xml:space="preserve">Ground chat zero-outbound operation</t>
  </si>
  <si>
    <t xml:space="preserve">The C2G app's Ground chat window shall produce zero outbound network calls for inference, user content, or telemetry while in use. All inference shall happen on the user's machine via the locally-installed Granite model.</t>
  </si>
  <si>
    <t xml:space="preserve">Zero outbound packets attributable to AI inference, user-content sync, or telemetry while in the Ground chat window.</t>
  </si>
  <si>
    <t xml:space="preserve">N/A (binary).</t>
  </si>
  <si>
    <t xml:space="preserve">Inspection (code review) + bench test (network monitor: capture traffic during a Ground chat session, confirm zero relevant outbound packets).</t>
  </si>
  <si>
    <t xml:space="preserve">BRG</t>
  </si>
  <si>
    <t xml:space="preserve">Bridge offline operability</t>
  </si>
  <si>
    <t xml:space="preserve">The bridge subsystem shall function for local-only delegation when no internet is available; the bridge protocol shall not require any cloud-side coordination.</t>
  </si>
  <si>
    <t xml:space="preserve">Bridge round-trip success rate ≥ 99% offline.</t>
  </si>
  <si>
    <t xml:space="preserve">Inherent — current implementation has no cloud dependency.</t>
  </si>
  <si>
    <t xml:space="preserve">Bench test — exercise the bridge with network disabled, measure round-trip success.</t>
  </si>
  <si>
    <t xml:space="preserve">Bridge round-trip latency budget</t>
  </si>
  <si>
    <t xml:space="preserve">The bridge round-trip latency for a delegation (request write → response read) shall be ≤ 10 seconds on the reference machine for prompts ≤ 500 tokens.</t>
  </si>
  <si>
    <t xml:space="preserve">≤10 seconds (CBE: ~6s observed; budget allows for larger prompts).</t>
  </si>
  <si>
    <t xml:space="preserve">Latitude embedded — CBE is ~60% of budget.</t>
  </si>
  <si>
    <t xml:space="preserve">Bench test — instrument the bridge for round-trip timing across representative workload.</t>
  </si>
  <si>
    <t xml:space="preserve">Bridge polling pattern shall be energy-efficient</t>
  </si>
  <si>
    <t xml:space="preserve">The bridge subsystem shall use event-driven file watching (e.g. FSEvents / kqueue) rather than busy-polling, or shall poll at intervals that meet the L2-PWR-002 idle budget.</t>
  </si>
  <si>
    <t xml:space="preserve">Idle bridge contribution to L2-PWR-002 budget ≤ 0.1 W.</t>
  </si>
  <si>
    <t xml:space="preserve">Embedded in the L2-PWR-002 allocation.</t>
  </si>
  <si>
    <t xml:space="preserve">Bench measurement — bridge component power consumption while idle.</t>
  </si>
  <si>
    <t xml:space="preserve">NET</t>
  </si>
  <si>
    <t xml:space="preserve">Connectivity state detection</t>
  </si>
  <si>
    <t xml:space="preserve">C2G-L1-PRD-001, C2G-L1-PRD-003</t>
  </si>
  <si>
    <t xml:space="preserve">The system shall detect loss and restoration of internet connectivity within 5 seconds (CBE) and shall expose the current state to mode-management and GUI subsystems.</t>
  </si>
  <si>
    <t xml:space="preserve">≤5 seconds (CBE), ≤6 seconds with 20% margin.</t>
  </si>
  <si>
    <t xml:space="preserve">20% on detection latency.</t>
  </si>
  <si>
    <t xml:space="preserve">Bench test — disable / enable network at OS level, measure time to state update.</t>
  </si>
  <si>
    <t xml:space="preserve">GUI</t>
  </si>
  <si>
    <t xml:space="preserve">UI free of external-runtime dependencies</t>
  </si>
  <si>
    <t xml:space="preserve">The user interface shall render and function fully without any internet-dependent assets (fonts, scripts, images, web fonts, analytics).</t>
  </si>
  <si>
    <t xml:space="preserve">Zero external network dependencies at runtime.</t>
  </si>
  <si>
    <t xml:space="preserve">Inspection — code review for external URLs + DNS-blocked launch test.</t>
  </si>
  <si>
    <t xml:space="preserve">First-run setup wizard UI</t>
  </si>
  <si>
    <t xml:space="preserve">The C2G app shall present a first-run setup wizard that walks the user through Ollama installation (if needed), local model selection and download, ollama-delegate skill installation into Cowork, and LaunchAgent registration for the bridge watcher, with progress visible at each step and the ability to abort cleanly.</t>
  </si>
  <si>
    <t xml:space="preserve">Setup wizard shown exactly once; re-accessible from settings (for repairs or to reinstall the skill after Cowork is reset). All steps reversible / re-runnable.</t>
  </si>
  <si>
    <t xml:space="preserve">N/A.</t>
  </si>
  <si>
    <t xml:space="preserve">Demonstration on a fresh install.</t>
  </si>
  <si>
    <t xml:space="preserve">Per-conversation carbon impact display</t>
  </si>
  <si>
    <t xml:space="preserve">The conversation UI shall display the cumulative energy (kWh) and carbon (g CO2e) estimates for the active thread, updated after each response, in the same status area as the mode and network chips.</t>
  </si>
  <si>
    <t xml:space="preserve">Updates within 1 second of a response landing. Shows units explicitly. Hover or click reveals a breakdown by response.</t>
  </si>
  <si>
    <t xml:space="preserve">Inspection — verify the display updates after each response and shows correct accumulated numbers.</t>
  </si>
  <si>
    <t xml:space="preserve">Location and power-profile capture in onboarding</t>
  </si>
  <si>
    <t xml:space="preserve">C2G-L1-PRD-006, C2G-L1-PRD-005</t>
  </si>
  <si>
    <t xml:space="preserve">The first-run onboarding flow shall offer the user an optional opportunity to provide their zip code and select their power source (grid / off-grid renewable / unknown), with explicit explanation that this only affects the carbon estimate displayed and is stored locally.</t>
  </si>
  <si>
    <t xml:space="preserve">User can complete onboarding without providing location (national-average fallback applies). User can edit location later from settings.</t>
  </si>
  <si>
    <t xml:space="preserve">Inspection of onboarding flow + settings panel for the edit path.</t>
  </si>
  <si>
    <t xml:space="preserve">Privacy / data settings panel</t>
  </si>
  <si>
    <t xml:space="preserve">The C2G app shall include a settings panel that lists every data channel (feedback, usage telemetry — cloud inference does not apply because C2G itself does not make cloud calls) with its current opt-in state, a one-line description of what is sent, and a per-channel toggle. Defaults: all off.</t>
  </si>
  <si>
    <t xml:space="preserve">Panel reachable from menu bar in ≤2 clicks. Toggles take effect immediately (no app restart).</t>
  </si>
  <si>
    <t xml:space="preserve">Inspection of settings panel + demonstration that toggling a channel off stops associated traffic.</t>
  </si>
  <si>
    <t xml:space="preserve">Menu bar status indicator</t>
  </si>
  <si>
    <t xml:space="preserve">The C2G app shall present a menu bar item (NSStatusItem) as its primary UI surface. The icon shall indicate, at a glance, whether the bridge is active, whether Granite is loaded, and whether the user is online. The menu shall provide entry points to the status panel, the Ground chat window, settings, and quit.</t>
  </si>
  <si>
    <t xml:space="preserve">Menu bar icon visible 100% of the time while C2G is running. Icon state updates within 1 second of underlying state change (bridge up/down, model loaded/unloaded, network online/offline).</t>
  </si>
  <si>
    <t xml:space="preserve">Inspection + demonstration — change each underlying state, observe icon update.</t>
  </si>
  <si>
    <t xml:space="preserve">Status panel window</t>
  </si>
  <si>
    <t xml:space="preserve">The C2G app shall provide a status panel window (opened from the menu bar) showing: Ollama running yes/no with version, current Granite tier loaded with name and version, bridge watcher running yes/no with PID, ollama-delegate skill version installed in Cowork, last skill update timestamp, current connectivity status (online/offline), per-conversation carbon estimate from PRD-006, opt-in channel states summary.</t>
  </si>
  <si>
    <t xml:space="preserve">Status panel reachable in ≤1 click from menu bar. All status items refresh within 2 seconds of state change. Manual refresh button.</t>
  </si>
  <si>
    <t xml:space="preserve">Inspection + demonstration — toggle each underlying state, observe panel update.</t>
  </si>
  <si>
    <t xml:space="preserve">Ground chat window</t>
  </si>
  <si>
    <t xml:space="preserve">The C2G app shall provide a Ground chat window (opened from the menu bar, or auto-opened when the user attempts a Claude action while offline) presenting a simple conversation interface backed solely by the local Granite model. There is no mode toggle — the window is Ground mode by definition.</t>
  </si>
  <si>
    <t xml:space="preserve">Window opens within 1 second of menu bar action. Conversation, attribution, and energy estimate visible. Supports ≥5-turn coherent context.</t>
  </si>
  <si>
    <t xml:space="preserve">Demonstration with network disabled — open window, complete a ≥5-turn session.</t>
  </si>
  <si>
    <t xml:space="preserve">PLAT</t>
  </si>
  <si>
    <t xml:space="preserve">Distribution mechanism</t>
  </si>
  <si>
    <t xml:space="preserve">The system shall be distributed via TBD (Mac App Store or notarized DMG, per ACT-005) such that a non-developer can install it from a single user action.</t>
  </si>
  <si>
    <t xml:space="preserve">Install flow ≤ 3 user actions from download to first launch.</t>
  </si>
  <si>
    <t xml:space="preserve">Demonstration on a clean macOS install.</t>
  </si>
  <si>
    <t xml:space="preserve">Code signing and notarization</t>
  </si>
  <si>
    <t xml:space="preserve">Distributed binaries shall be code-signed with a Developer ID Application certificate and notarized by Apple such that Gatekeeper presents no warnings to a default macOS install.</t>
  </si>
  <si>
    <t xml:space="preserve">Zero Gatekeeper warnings on first launch from supported macOS versions.</t>
  </si>
  <si>
    <t xml:space="preserve">Demonstration on a clean macOS install with default Gatekeeper settings.</t>
  </si>
  <si>
    <t xml:space="preserve">OPS</t>
  </si>
  <si>
    <t xml:space="preserve">Local model available before first Ground session</t>
  </si>
  <si>
    <t xml:space="preserve">C2G-L1-PRD-001, C2G-L1-PRD-005</t>
  </si>
  <si>
    <t xml:space="preserve">The local model required for Ground mode shall be present and operational on the user's machine before the first Ground-mode conversation, or the system shall successfully guide its acquisition during install / first run.</t>
  </si>
  <si>
    <t xml:space="preserve">First-run success rate of local-model availability ≥ 95% under representative network conditions.</t>
  </si>
  <si>
    <t xml:space="preserve">Embedded in the success-rate target.</t>
  </si>
  <si>
    <t xml:space="preserve">Bench test on a fresh machine — install, attempt a Ground-mode session immediately, measure success.</t>
  </si>
  <si>
    <t xml:space="preserve">Install without terminal or config files</t>
  </si>
  <si>
    <t xml:space="preserve">The system install shall complete without requiring the user to open a terminal, edit any configuration file, or grant permissions beyond standard macOS application prompts.</t>
  </si>
  <si>
    <t xml:space="preserve">Zero terminal commands in user-facing install path.</t>
  </si>
  <si>
    <t xml:space="preserve">User trial (ACT-006) — observe install, count terminal usages.</t>
  </si>
  <si>
    <t xml:space="preserve">First-run setup with tier selection</t>
  </si>
  <si>
    <t xml:space="preserve">On first run, the system shall detect machine capability (total RAM, available disk), recommend a local-model tier (small / large per L2-AI-007), let the user override, and ensure the chosen model is operational (bundled or downloaded with progress UI and resumability) before exposing the Ground / Hybrid mode controls.</t>
  </si>
  <si>
    <t xml:space="preserve">First-run setup success rate ≥ 95% under representative network conditions. Tier recommendation correct on ≥ 90% of supported Macs (8GB → small, 16GB+ → large).</t>
  </si>
  <si>
    <t xml:space="preserve">Embedded in success-rate target.</t>
  </si>
  <si>
    <t xml:space="preserve">Bench test — fresh macOS install on representative hardware tiers + first launch, measure outcomes and tier recommendations.</t>
  </si>
  <si>
    <t xml:space="preserve">Update mechanism</t>
  </si>
  <si>
    <t xml:space="preserve">The system shall provide an automatic or one-click update mechanism that does not require terminal or manual file replacement.</t>
  </si>
  <si>
    <t xml:space="preserve">Update completes in one user action.</t>
  </si>
  <si>
    <t xml:space="preserve">Demonstration — install version N, push version N+1, measure update flow.</t>
  </si>
  <si>
    <t xml:space="preserve">Grid-mix lookup from user location</t>
  </si>
  <si>
    <t xml:space="preserve">The system shall map the user's location (zip code, country, or 'off-grid renewable') to a grid carbon intensity value (g CO2e per kWh), with explicit defaults when location is unknown.</t>
  </si>
  <si>
    <t xml:space="preserve">Initial: EPA eGRID national average if no zip code; eGRID zip-code lookup if zip provided; 50 g CO2e/kWh for self-declared off-grid renewable. Updated as data sources improve.</t>
  </si>
  <si>
    <t xml:space="preserve">N/A — rough draft now, refined over time per PRD-006 evolution clause.</t>
  </si>
  <si>
    <t xml:space="preserve">Inspection of the lookup table or API call against the cited public source.</t>
  </si>
  <si>
    <t xml:space="preserve">Delegation telemetry and sampled A/B comparison (local-only)</t>
  </si>
  <si>
    <t xml:space="preserve">C2G-L1-PRD-002, C2G-L1-PRD-003</t>
  </si>
  <si>
    <t xml:space="preserve">The system shall log every delegation between cloud and local AI to a local-only telemetry file recording (timestamp, task category, prompt tokens, response tokens, outcome class), and shall periodically (≥1 in 10 sampled) execute the same task in cloud-only mode to maintain a measured baseline for the PRD-002 reduction ratio. This file shall never leave the user's machine.</t>
  </si>
  <si>
    <t xml:space="preserve">Logged delegation outcomes are sufficient to compute aggregate reduction percentage over any time window with ≤5% measurement error. Zero outbound packets attributable to this log.</t>
  </si>
  <si>
    <t xml:space="preserve">Embedded in 1-in-10 sampling — increases as needed if 5% error not met.</t>
  </si>
  <si>
    <t xml:space="preserve">Inspection of the log + offline analysis script that computes the reduction percentage from log data.</t>
  </si>
  <si>
    <t xml:space="preserve">Opt-in user feedback collection</t>
  </si>
  <si>
    <t xml:space="preserve">C2G-L1-PRD-005, C2G-L1-PRD-003</t>
  </si>
  <si>
    <t xml:space="preserve">The system shall offer the user a weekly feedback prompt (free-text + simple rating). Feedback shall be uploaded only if the user opted in at install or in settings, and uploads shall queue locally while offline.</t>
  </si>
  <si>
    <t xml:space="preserve">Weekly prompt; opt-in toggle in settings; queued uploads succeed within 24h of network availability after consent.</t>
  </si>
  <si>
    <t xml:space="preserve">Inspection of opt-in flow + bench test of queuing across online/offline transitions.</t>
  </si>
  <si>
    <t xml:space="preserve">Opt-in usage telemetry</t>
  </si>
  <si>
    <t xml:space="preserve">The system shall optionally collect anonymized usage statistics (conversation counts per mode, average response length, mode switch counts, error categories) and upload them on a per-week or per-launch schedule, only with explicit opt-in. Telemetry shall never include user message content, file paths, or identifying information.</t>
  </si>
  <si>
    <t xml:space="preserve">Telemetry schema is documented in user-visible privacy notice; opt-in toggle persisted; zero identifying fields in payload.</t>
  </si>
  <si>
    <t xml:space="preserve">Inspection of telemetry schema + payload capture verifying no content/identifiers.</t>
  </si>
  <si>
    <t xml:space="preserve">Setup wizard install logic</t>
  </si>
  <si>
    <t xml:space="preserve">The C2G app shall implement an install / first-run flow that programmatically installs Ollama if missing, pulls the recommended granite4.1 tier for the user's hardware, installs the ollama-delegate skill into Cowork's skill directory, and registers a LaunchAgent to keep the bridge watcher running. Each step shall be idempotent and re-runnable from settings.</t>
  </si>
  <si>
    <t xml:space="preserve">Fresh-install success rate ≥ 90% on supported macOS versions and Apple Silicon hardware. Each step's success or failure surfaced to the wizard UI (L2-GUI-005).</t>
  </si>
  <si>
    <t xml:space="preserve">Bench test on a clean macOS install; measure each step's success.</t>
  </si>
  <si>
    <t xml:space="preserve">Skill auto-update channel</t>
  </si>
  <si>
    <t xml:space="preserve">The C2G app shall periodically check for updates to the ollama-delegate skill (and its bundled model-tuning files) from a Carlano Technology Solutions LLC-hosted update endpoint and install them automatically, with the option for the user to disable auto-update and update manually instead.</t>
  </si>
  <si>
    <t xml:space="preserve">Update check ≤ once per day; installed update visible in status panel (L2-GUI-010) with version + installed-on timestamp; rollback path available.</t>
  </si>
  <si>
    <t xml:space="preserve">Bench test — release version N+1 to the endpoint, observe automatic update on a test client, observe rollback path.</t>
  </si>
  <si>
    <t xml:space="preserve">Bridge watcher as LaunchAgent</t>
  </si>
  <si>
    <t xml:space="preserve">The C2G app shall install and manage a LaunchAgent that keeps the bridge watcher script running across reboots and login sessions. The LaunchAgent shall restart the watcher if it crashes and surface the failure to the status panel (L2-GUI-010) if restart attempts fail repeatedly.</t>
  </si>
  <si>
    <t xml:space="preserve">Bridge watcher running ≥ 99% of macOS uptime in a normal user session.</t>
  </si>
  <si>
    <t xml:space="preserve">1% slack for transient restarts.</t>
  </si>
  <si>
    <t xml:space="preserve">Bench test — install, reboot, verify watcher running. Simulate watcher crash, verify restart and status surface.</t>
  </si>
  <si>
    <t xml:space="preserve">PWR</t>
  </si>
  <si>
    <t xml:space="preserve">Energy budget per Ground-mode session</t>
  </si>
  <si>
    <t xml:space="preserve">A representative 5-turn Ground-mode session on the reference machine shall consume ≤ TBD Wh from battery.</t>
  </si>
  <si>
    <t xml:space="preserve">TBD (CBE pending measurement).</t>
  </si>
  <si>
    <t xml:space="preserve">20% (applied to ACT-003 target once set).</t>
  </si>
  <si>
    <t xml:space="preserve">Bench measurement on reference machine, mains disconnected, against representative workload.</t>
  </si>
  <si>
    <t xml:space="preserve">Idle behavior shall not drain battery</t>
  </si>
  <si>
    <t xml:space="preserve">When no active conversation is in progress, the system shall consume ≤ 0.5 W of additional power above the baseline macOS idle draw on the reference machine.</t>
  </si>
  <si>
    <t xml:space="preserve">≤0.5 W idle delta (CBE pending; observed idle for the current bridge watcher is unknown but bash-loop based — likely measurable).</t>
  </si>
  <si>
    <t xml:space="preserve">Bench measurement — powermetrics or equivalent, app foreground but idle vs. app not running.</t>
  </si>
  <si>
    <t xml:space="preserve">Owner</t>
  </si>
  <si>
    <t xml:space="preserve">Downstream impact</t>
  </si>
  <si>
    <t xml:space="preserve">Blocks</t>
  </si>
  <si>
    <t xml:space="preserve">Blocked by</t>
  </si>
  <si>
    <t xml:space="preserve">Description</t>
  </si>
  <si>
    <t xml:space="preserve">Notes</t>
  </si>
  <si>
    <t xml:space="preserve">ACT-001</t>
  </si>
  <si>
    <t xml:space="preserve">Continuously observe and log the C2G workload via real project work</t>
  </si>
  <si>
    <t xml:space="preserve">ongoing</t>
  </si>
  <si>
    <t xml:space="preserve">Andrew's actual work via Cowork (STG and other active projects)</t>
  </si>
  <si>
    <t xml:space="preserve">REFRAMED 2026-06-27: not a one-shot definition. The workload is what Andrew actually uses C2G for during real project work — initially STG (the active Cowork project) and other Carlano work. The 2026-06-27 worksheet captured a starting-point distribution (45% code generation, 29% code review, 9% SE planning, 17% other) which lives in SE/workload_observed.json. Telemetry (L2-OPS-006) will refine this continuously as we use the system. The skill (ollama-delegate) should also be updated as patterns emerge.</t>
  </si>
  <si>
    <t xml:space="preserve">Implementation: L2-OPS-006 telemetry + manual updates to SE/workload_observed.json and the ollama-delegate skill. Initial workload mix from 2026-06-27 worksheet.</t>
  </si>
  <si>
    <t xml:space="preserve">ACT-002</t>
  </si>
  <si>
    <t xml:space="preserve">Set target token-reduction percentage for PRD-002</t>
  </si>
  <si>
    <t xml:space="preserve">closed</t>
  </si>
  <si>
    <t xml:space="preserve">Andrew</t>
  </si>
  <si>
    <t xml:space="preserve">CLOSED 2026-06-27: target set at 50% reduction (CBE ≥60% with 20% margin) per Andrew. Measurement mechanism moves to L2-OPS-006 (sampled A/B comparison).</t>
  </si>
  <si>
    <t xml:space="preserve">Closed_on: 2026-06-27. Value: 50% target. Implementation of the measurement: L2-OPS-006.</t>
  </si>
  <si>
    <t xml:space="preserve">ACT-003</t>
  </si>
  <si>
    <t xml:space="preserve">Implement energy and carbon transparency feature</t>
  </si>
  <si>
    <t xml:space="preserve">open</t>
  </si>
  <si>
    <t xml:space="preserve">Andrew + system (implementation work)</t>
  </si>
  <si>
    <t xml:space="preserve">REFRAMED 2026-06-27: was 'set energy-per-session target.' Per Andrew's direction this becomes a user-facing carbon transparency feature — implemented by new L1 PRD-006 and its 4 derived L2s (GUI display, grid-mix lookup, per-response estimate, onboarding capture). Rough-draft data sources now (national-average grid mix, public per-token energy estimates), refined over time.</t>
  </si>
  <si>
    <t xml:space="preserve">Implementation: PRD-006 + L2-GUI-006, L2-OPS-005, L2-AI-008, L2-GUI-007. Treat as evolving — initial release ships with national-average grid mix and best-estimate per-token constants, refines on subsequent releases.</t>
  </si>
  <si>
    <t xml:space="preserve">ACT-004</t>
  </si>
  <si>
    <t xml:space="preserve">Define reference workload for PRD-004 energy measurement</t>
  </si>
  <si>
    <t xml:space="preserve">superseded</t>
  </si>
  <si>
    <t xml:space="preserve">—</t>
  </si>
  <si>
    <t xml:space="preserve">SUPERSEDED 2026-06-27: original intent was a one-shot reference workload for a fixed energy-per-session measurement. With ACT-001 becoming an ongoing observation log and ACT-003 becoming a live carbon transparency feature, there is no separate reference workload needed — energy is measured live per response (L2-AI-008) and aggregated per conversation (L2-GUI-006).</t>
  </si>
  <si>
    <t xml:space="preserve">Andrew mentioned this can be done via 'STG project work' — clarification needed on what STG refers to. If STG is a specific measurement campaign for the energy constants in L2-AI-008, that work folds into L2-AI-008 closure.</t>
  </si>
  <si>
    <t xml:space="preserve">ACT-005</t>
  </si>
  <si>
    <t xml:space="preserve">Decide distribution mechanism for v1.0 (free preview)</t>
  </si>
  <si>
    <t xml:space="preserve">CLOSED 2026-06-27 per Andrew: v1.0 ships free via GitHub Releases as a notarized DMG, Apache-2.0 source license, free public preview through 2026-11-30. Apple Developer enrollment (pending) is required for notarization. Mac App Store decision deferred to ACT-007 for v2.0 paid release.</t>
  </si>
  <si>
    <t xml:space="preserve">Closed_on: 2026-06-27. Decision: GitHub Releases + notarized DMG, Apache-2.0 source. Free preview window: through 2026-11-30. Monetization story: source remains open; binaries / subscription / support become paid in v2.0. License pivot (e.g. BSL) reserved as future option.</t>
  </si>
  <si>
    <t xml:space="preserve">ACT-006</t>
  </si>
  <si>
    <t xml:space="preserve">Feedback and usage data during free preview</t>
  </si>
  <si>
    <t xml:space="preserve">Andrew + system</t>
  </si>
  <si>
    <t xml:space="preserve">UPDATED 2026-06-27: rather than 'trial mechanism' (which is moot since v1.0 is free OSS), this action covers collecting feedback and opt-in usage data during the free preview window so the v2.0 paid release can be informed by real usage. Implementation: L2-OPS-007 (weekly feedback prompt, opt-in) + L2-OPS-008 (anonymized usage telemetry, opt-in) + L2-GUI-008 (privacy settings panel). Defaults off per PRD-007. User trial recruitment for L1 PRD-005 check folds in here too — the free preview IS the user trial.</t>
  </si>
  <si>
    <t xml:space="preserve">Active during the entire free-preview window (v1.0 launch through 2026-11-30). Telemetry endpoint TBD — probably a Cloudflare worker; can be a single hand-rolled HTTPS POST endpoint.</t>
  </si>
  <si>
    <t xml:space="preserve">ACT-007</t>
  </si>
  <si>
    <t xml:space="preserve">Pick paid distribution mechanism for v2.0</t>
  </si>
  <si>
    <t xml:space="preserve">OPENED 2026-06-27. By 2026-10-15 (~6 weeks before the 2026-11-30 free-preview end), decide between: (a) Mac App Store — Apple handles subscription billing, requires sandbox-compatible local AI (pivot from Ollama to Apple MLX); (b) Notarized DMG + Paddle (or Lemon Squeezy) — keeps Ollama, requires payment-processor integration; (c) Hybrid — App Store for paid version, DMG for free OSS version. Drives L2-PLAT-001, L2-PLAT-002, L2-OPS-004 specialization for v2.0.</t>
  </si>
  <si>
    <t xml:space="preserve">Target decision date: 2026-10-15. Hard date: 2026-11-30 (free preview ends). Inputs that should inform the decision: usage data from ACT-006 (what features actually get used), Apple Developer enrollment status, MLX-vs-Ollama feasibility experiment if App Store remains a candidate. 2026-06-27 architecture-correction implication: C2G needs to install a LaunchAgent for the bridge watcher (L2-OPS-011). In a sandboxed Mac App Store distribution, LaunchAgent installation outside the app's sandbox container is restricted and requires user approval each time. For notarized DMG distribution, LaunchAgent install into ~/Library/LaunchAgents/ is straightforward. This is a real cost on the App Store path that may push the decision toward DMG + Paddle.</t>
  </si>
  <si>
    <t xml:space="preserve">Total open impact:</t>
  </si>
  <si>
    <t xml:space="preserve">Requirement</t>
  </si>
  <si>
    <t xml:space="preserve">TBD</t>
  </si>
  <si>
    <t xml:space="preserve">Owning action</t>
  </si>
  <si>
    <t xml:space="preserve">energy-per-session target</t>
  </si>
  <si>
    <t xml:space="preserve">reference workload definition</t>
  </si>
  <si>
    <t xml:space="preserve">user-trial recruitment</t>
  </si>
  <si>
    <t xml:space="preserve">what 'install' looks like — App Store vs notarized DMG</t>
  </si>
  <si>
    <t xml:space="preserve">bundled vs in-app download — driven by ACT-005 distribution decision</t>
  </si>
  <si>
    <t xml:space="preserve">energy target (ACT-003)</t>
  </si>
  <si>
    <t xml:space="preserve">reference workload (ACT-001 / ACT-004)</t>
  </si>
  <si>
    <t xml:space="preserve">measured idle baseline</t>
  </si>
  <si>
    <t xml:space="preserve">(measurement — open)</t>
  </si>
  <si>
    <t xml:space="preserve">distribution mechanism (ACT-005)</t>
  </si>
  <si>
    <t xml:space="preserve">depends on Apple Developer Program enrollment completion (pending as of 2026-06-26)</t>
  </si>
  <si>
    <t xml:space="preserve">(Apple enrollment pending)</t>
  </si>
  <si>
    <t xml:space="preserve">bundle vs download per tier (linked to ACT-005)</t>
  </si>
  <si>
    <t xml:space="preserve">update mechanism (Sparkle / App Store auto-update / other — linked to ACT-005)</t>
  </si>
  <si>
    <t xml:space="preserve">grid-mix data source (EPA eGRID / Electricity Maps API / other)</t>
  </si>
  <si>
    <t xml:space="preserve">per-token energy estimate methodology (cloud and local)</t>
  </si>
  <si>
    <t xml:space="preserve">default fallback when user declines to share location</t>
  </si>
  <si>
    <t xml:space="preserve">primary data source (eGRID download vs Electricity Maps API vs other)</t>
  </si>
  <si>
    <t xml:space="preserve">update cadence for the underlying data</t>
  </si>
  <si>
    <t xml:space="preserve">cloud per-token Wh constant</t>
  </si>
  <si>
    <t xml:space="preserve">local per-token Wh constant on M5 Air</t>
  </si>
  <si>
    <t xml:space="preserve">outcome class set (verbatim / patched / rewritten / failed — confirm with ollama-delegate skill)</t>
  </si>
  <si>
    <t xml:space="preserve">log file location and rotation policy</t>
  </si>
  <si>
    <t xml:space="preserve">feedback endpoint (probably an LLC-owned endpoint; rough draft: a single HTTPS POST to a Cloudflare worker)</t>
  </si>
  <si>
    <t xml:space="preserve">telemetry schema definition</t>
  </si>
  <si>
    <t xml:space="preserve">endpoint (same as feedback or separate)</t>
  </si>
  <si>
    <t xml:space="preserve">whether Ollama install uses Homebrew, direct .pkg download, or both</t>
  </si>
  <si>
    <t xml:space="preserve">update endpoint and signing approach</t>
  </si>
  <si>
    <t xml:space="preserve">rollback mechanism (Sparkle vs custom)</t>
  </si>
  <si>
    <t xml:space="preserve">LaunchAgent location: app sandbox container vs ~/Library/LaunchAgents (depends on ACT-007 sandbox decision)</t>
  </si>
  <si>
    <t xml:space="preserve">Total TBDs: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</si>
</sst>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FFFFFF"/>
      <name val="Arial"/>
      <family val="0"/>
      <charset val="1"/>
    </font>
    <font>
      <b val="true"/>
      <sz val="10"/>
      <name val="Arial"/>
      <family val="0"/>
      <charset val="1"/>
    </font>
    <font>
      <b val="true"/>
      <sz val="12"/>
      <color rgb="FFFFFFFF"/>
      <name val="Arial"/>
      <family val="0"/>
      <charset val="1"/>
    </font>
    <font>
      <i val="true"/>
      <sz val="9"/>
      <name val="Arial"/>
      <family val="0"/>
      <charset val="1"/>
    </font>
    <font>
      <sz val="10"/>
      <name val="Arial"/>
      <family val="0"/>
      <charset val="1"/>
    </font>
  </fonts>
  <fills count="7">
    <fill>
      <patternFill patternType="none"/>
    </fill>
    <fill>
      <patternFill patternType="gray125"/>
    </fill>
    <fill>
      <patternFill patternType="solid">
        <fgColor rgb="FF2E5C8A"/>
        <bgColor rgb="FF666699"/>
      </patternFill>
    </fill>
    <fill>
      <patternFill patternType="solid">
        <fgColor rgb="FFD5E8F0"/>
        <bgColor rgb="FFCCFFFF"/>
      </patternFill>
    </fill>
    <fill>
      <patternFill patternType="solid">
        <fgColor rgb="FF4CAF50"/>
        <bgColor rgb="FF33CCCC"/>
      </patternFill>
    </fill>
    <fill>
      <patternFill patternType="solid">
        <fgColor rgb="FFFCE4B6"/>
        <bgColor rgb="FFFFF2CC"/>
      </patternFill>
    </fill>
    <fill>
      <patternFill patternType="solid">
        <fgColor rgb="FFFFF2CC"/>
        <bgColor rgb="FFFCE4B6"/>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center" vertical="center" textRotation="9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5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B6"/>
      <rgbColor rgb="FF3366FF"/>
      <rgbColor rgb="FF33CCCC"/>
      <rgbColor rgb="FF99CC00"/>
      <rgbColor rgb="FFFFCC00"/>
      <rgbColor rgb="FFFF9900"/>
      <rgbColor rgb="FFFF6600"/>
      <rgbColor rgb="FF666699"/>
      <rgbColor rgb="FFAAAAAA"/>
      <rgbColor rgb="FF003366"/>
      <rgbColor rgb="FF4CAF50"/>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6" min="3" style="0" width="4.5"/>
  </cols>
  <sheetData>
    <row r="1" customFormat="false" ht="17.3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3" customFormat="false" ht="109.5" hidden="false" customHeight="true" outlineLevel="0" collapsed="false">
      <c r="A3" s="2" t="s">
        <v>1</v>
      </c>
      <c r="B3" s="2" t="s">
        <v>2</v>
      </c>
      <c r="C3" s="3" t="s">
        <v>3</v>
      </c>
      <c r="D3" s="3" t="s">
        <v>4</v>
      </c>
      <c r="E3" s="3" t="s">
        <v>5</v>
      </c>
      <c r="F3" s="3" t="s">
        <v>6</v>
      </c>
      <c r="G3" s="3" t="s">
        <v>7</v>
      </c>
      <c r="H3" s="3" t="s">
        <v>8</v>
      </c>
      <c r="I3" s="3" t="s">
        <v>9</v>
      </c>
      <c r="J3" s="3" t="s">
        <v>10</v>
      </c>
      <c r="K3" s="3" t="s">
        <v>11</v>
      </c>
      <c r="L3" s="3" t="s">
        <v>12</v>
      </c>
      <c r="M3" s="3" t="s">
        <v>13</v>
      </c>
      <c r="N3" s="3" t="s">
        <v>14</v>
      </c>
      <c r="O3" s="3" t="s">
        <v>15</v>
      </c>
      <c r="P3" s="3" t="s">
        <v>16</v>
      </c>
      <c r="Q3" s="3" t="s">
        <v>17</v>
      </c>
      <c r="R3" s="3" t="s">
        <v>18</v>
      </c>
      <c r="S3" s="3" t="s">
        <v>19</v>
      </c>
      <c r="T3" s="3" t="s">
        <v>20</v>
      </c>
      <c r="U3" s="3" t="s">
        <v>21</v>
      </c>
      <c r="V3" s="3" t="s">
        <v>22</v>
      </c>
      <c r="W3" s="3" t="s">
        <v>23</v>
      </c>
      <c r="X3" s="3" t="s">
        <v>24</v>
      </c>
      <c r="Y3" s="3" t="s">
        <v>25</v>
      </c>
      <c r="Z3" s="3" t="s">
        <v>26</v>
      </c>
      <c r="AA3" s="3" t="s">
        <v>27</v>
      </c>
      <c r="AB3" s="3" t="s">
        <v>28</v>
      </c>
      <c r="AC3" s="3" t="s">
        <v>29</v>
      </c>
      <c r="AD3" s="3" t="s">
        <v>30</v>
      </c>
      <c r="AE3" s="3" t="s">
        <v>31</v>
      </c>
      <c r="AF3" s="3" t="s">
        <v>32</v>
      </c>
      <c r="AG3" s="3" t="s">
        <v>33</v>
      </c>
      <c r="AH3" s="3" t="s">
        <v>34</v>
      </c>
      <c r="AI3" s="3" t="s">
        <v>35</v>
      </c>
      <c r="AJ3" s="3" t="s">
        <v>36</v>
      </c>
    </row>
    <row r="4" customFormat="false" ht="31.5" hidden="false" customHeight="true" outlineLevel="0" collapsed="false">
      <c r="A4" s="4" t="s">
        <v>37</v>
      </c>
      <c r="B4" s="4" t="s">
        <v>38</v>
      </c>
      <c r="C4" s="5" t="s">
        <v>39</v>
      </c>
      <c r="D4" s="5" t="s">
        <v>39</v>
      </c>
      <c r="E4" s="5" t="s">
        <v>39</v>
      </c>
      <c r="F4" s="5" t="s">
        <v>39</v>
      </c>
      <c r="G4" s="5" t="s">
        <v>39</v>
      </c>
      <c r="H4" s="5" t="s">
        <v>39</v>
      </c>
      <c r="I4" s="5" t="s">
        <v>39</v>
      </c>
      <c r="J4" s="6"/>
      <c r="K4" s="6"/>
      <c r="L4" s="6"/>
      <c r="M4" s="6"/>
      <c r="N4" s="6"/>
      <c r="O4" s="6"/>
      <c r="P4" s="6"/>
      <c r="Q4" s="6"/>
      <c r="R4" s="6"/>
      <c r="S4" s="6"/>
      <c r="T4" s="5" t="s">
        <v>39</v>
      </c>
      <c r="U4" s="6"/>
      <c r="V4" s="6"/>
      <c r="W4" s="6"/>
      <c r="X4" s="6"/>
      <c r="Y4" s="6"/>
      <c r="Z4" s="6"/>
      <c r="AA4" s="6"/>
      <c r="AB4" s="6"/>
      <c r="AC4" s="6"/>
      <c r="AD4" s="6"/>
      <c r="AE4" s="6"/>
      <c r="AF4" s="6"/>
      <c r="AG4" s="5" t="s">
        <v>39</v>
      </c>
      <c r="AH4" s="6"/>
      <c r="AI4" s="6"/>
      <c r="AJ4" s="6"/>
    </row>
    <row r="5" customFormat="false" ht="31.5" hidden="false" customHeight="true" outlineLevel="0" collapsed="false">
      <c r="A5" s="4" t="s">
        <v>40</v>
      </c>
      <c r="B5" s="4" t="s">
        <v>41</v>
      </c>
      <c r="C5" s="6"/>
      <c r="D5" s="6"/>
      <c r="E5" s="6"/>
      <c r="F5" s="6"/>
      <c r="G5" s="6"/>
      <c r="H5" s="6"/>
      <c r="I5" s="6"/>
      <c r="J5" s="5" t="s">
        <v>39</v>
      </c>
      <c r="K5" s="5" t="s">
        <v>39</v>
      </c>
      <c r="L5" s="5" t="s">
        <v>39</v>
      </c>
      <c r="M5" s="6"/>
      <c r="N5" s="6"/>
      <c r="O5" s="6"/>
      <c r="P5" s="6"/>
      <c r="Q5" s="6"/>
      <c r="R5" s="6"/>
      <c r="S5" s="6"/>
      <c r="T5" s="6"/>
      <c r="U5" s="6"/>
      <c r="V5" s="6"/>
      <c r="W5" s="6"/>
      <c r="X5" s="6"/>
      <c r="Y5" s="6"/>
      <c r="Z5" s="6"/>
      <c r="AA5" s="5" t="s">
        <v>39</v>
      </c>
      <c r="AB5" s="6"/>
      <c r="AC5" s="6"/>
      <c r="AD5" s="6"/>
      <c r="AE5" s="6"/>
      <c r="AF5" s="6"/>
      <c r="AG5" s="6"/>
      <c r="AH5" s="6"/>
      <c r="AI5" s="6"/>
      <c r="AJ5" s="6"/>
    </row>
    <row r="6" customFormat="false" ht="31.5" hidden="false" customHeight="true" outlineLevel="0" collapsed="false">
      <c r="A6" s="4" t="s">
        <v>42</v>
      </c>
      <c r="B6" s="4" t="s">
        <v>43</v>
      </c>
      <c r="C6" s="6"/>
      <c r="D6" s="6"/>
      <c r="E6" s="5" t="s">
        <v>39</v>
      </c>
      <c r="F6" s="6"/>
      <c r="G6" s="6"/>
      <c r="H6" s="6"/>
      <c r="I6" s="6"/>
      <c r="J6" s="6"/>
      <c r="K6" s="6"/>
      <c r="L6" s="6"/>
      <c r="M6" s="6"/>
      <c r="N6" s="6"/>
      <c r="O6" s="6"/>
      <c r="P6" s="6"/>
      <c r="Q6" s="6"/>
      <c r="R6" s="6"/>
      <c r="S6" s="6"/>
      <c r="T6" s="6"/>
      <c r="U6" s="6"/>
      <c r="V6" s="6"/>
      <c r="W6" s="6"/>
      <c r="X6" s="6"/>
      <c r="Y6" s="6"/>
      <c r="Z6" s="6"/>
      <c r="AA6" s="5" t="s">
        <v>39</v>
      </c>
      <c r="AB6" s="5" t="s">
        <v>39</v>
      </c>
      <c r="AC6" s="5" t="s">
        <v>39</v>
      </c>
      <c r="AD6" s="5" t="s">
        <v>39</v>
      </c>
      <c r="AE6" s="6"/>
      <c r="AF6" s="5" t="s">
        <v>39</v>
      </c>
      <c r="AG6" s="6"/>
      <c r="AH6" s="6"/>
      <c r="AI6" s="6"/>
      <c r="AJ6" s="6"/>
    </row>
    <row r="7" customFormat="false" ht="31.5" hidden="false" customHeight="true" outlineLevel="0" collapsed="false">
      <c r="A7" s="4" t="s">
        <v>44</v>
      </c>
      <c r="B7" s="4" t="s">
        <v>45</v>
      </c>
      <c r="C7" s="6"/>
      <c r="D7" s="6"/>
      <c r="E7" s="6"/>
      <c r="F7" s="6"/>
      <c r="G7" s="6"/>
      <c r="H7" s="6"/>
      <c r="I7" s="6"/>
      <c r="J7" s="6"/>
      <c r="K7" s="6"/>
      <c r="L7" s="6"/>
      <c r="M7" s="5" t="s">
        <v>39</v>
      </c>
      <c r="N7" s="5" t="s">
        <v>39</v>
      </c>
      <c r="O7" s="5" t="s">
        <v>39</v>
      </c>
      <c r="P7" s="5" t="s">
        <v>39</v>
      </c>
      <c r="Q7" s="6"/>
      <c r="R7" s="6"/>
      <c r="S7" s="6"/>
      <c r="T7" s="6"/>
      <c r="U7" s="6"/>
      <c r="V7" s="6"/>
      <c r="W7" s="6"/>
      <c r="X7" s="6"/>
      <c r="Y7" s="6"/>
      <c r="Z7" s="6"/>
      <c r="AA7" s="6"/>
      <c r="AB7" s="6"/>
      <c r="AC7" s="6"/>
      <c r="AD7" s="6"/>
      <c r="AE7" s="6"/>
      <c r="AF7" s="6"/>
      <c r="AG7" s="6"/>
      <c r="AH7" s="6"/>
      <c r="AI7" s="6"/>
      <c r="AJ7" s="6"/>
    </row>
    <row r="8" customFormat="false" ht="31.5" hidden="false" customHeight="true" outlineLevel="0" collapsed="false">
      <c r="A8" s="4" t="s">
        <v>46</v>
      </c>
      <c r="B8" s="4" t="s">
        <v>47</v>
      </c>
      <c r="C8" s="6"/>
      <c r="D8" s="6"/>
      <c r="E8" s="6"/>
      <c r="F8" s="6"/>
      <c r="G8" s="6"/>
      <c r="H8" s="6"/>
      <c r="I8" s="5" t="s">
        <v>39</v>
      </c>
      <c r="J8" s="6"/>
      <c r="K8" s="6"/>
      <c r="L8" s="6"/>
      <c r="M8" s="6"/>
      <c r="N8" s="6"/>
      <c r="O8" s="6"/>
      <c r="P8" s="6"/>
      <c r="Q8" s="5" t="s">
        <v>39</v>
      </c>
      <c r="R8" s="5" t="s">
        <v>39</v>
      </c>
      <c r="S8" s="5" t="s">
        <v>39</v>
      </c>
      <c r="T8" s="5" t="s">
        <v>39</v>
      </c>
      <c r="U8" s="5" t="s">
        <v>39</v>
      </c>
      <c r="V8" s="5" t="s">
        <v>39</v>
      </c>
      <c r="W8" s="6"/>
      <c r="X8" s="6"/>
      <c r="Y8" s="6"/>
      <c r="Z8" s="5" t="s">
        <v>39</v>
      </c>
      <c r="AA8" s="6"/>
      <c r="AB8" s="5" t="s">
        <v>39</v>
      </c>
      <c r="AC8" s="6"/>
      <c r="AD8" s="6"/>
      <c r="AE8" s="5" t="s">
        <v>39</v>
      </c>
      <c r="AF8" s="6"/>
      <c r="AG8" s="6"/>
      <c r="AH8" s="5" t="s">
        <v>39</v>
      </c>
      <c r="AI8" s="5" t="s">
        <v>39</v>
      </c>
      <c r="AJ8" s="5" t="s">
        <v>39</v>
      </c>
    </row>
    <row r="9" customFormat="false" ht="31.5" hidden="false" customHeight="true" outlineLevel="0" collapsed="false">
      <c r="A9" s="4" t="s">
        <v>48</v>
      </c>
      <c r="B9" s="4" t="s">
        <v>49</v>
      </c>
      <c r="C9" s="6"/>
      <c r="D9" s="6"/>
      <c r="E9" s="6"/>
      <c r="F9" s="6"/>
      <c r="G9" s="6"/>
      <c r="H9" s="6"/>
      <c r="I9" s="6"/>
      <c r="J9" s="6"/>
      <c r="K9" s="6"/>
      <c r="L9" s="6"/>
      <c r="M9" s="6"/>
      <c r="N9" s="6"/>
      <c r="O9" s="6"/>
      <c r="P9" s="6"/>
      <c r="Q9" s="6"/>
      <c r="R9" s="6"/>
      <c r="S9" s="6"/>
      <c r="T9" s="6"/>
      <c r="U9" s="6"/>
      <c r="V9" s="6"/>
      <c r="W9" s="5" t="s">
        <v>39</v>
      </c>
      <c r="X9" s="5" t="s">
        <v>39</v>
      </c>
      <c r="Y9" s="5" t="s">
        <v>39</v>
      </c>
      <c r="Z9" s="5" t="s">
        <v>39</v>
      </c>
      <c r="AA9" s="6"/>
      <c r="AB9" s="6"/>
      <c r="AC9" s="6"/>
      <c r="AD9" s="6"/>
      <c r="AE9" s="6"/>
      <c r="AF9" s="6"/>
      <c r="AG9" s="6"/>
      <c r="AH9" s="6"/>
      <c r="AI9" s="6"/>
      <c r="AJ9" s="6"/>
    </row>
    <row r="12" customFormat="false" ht="15" hidden="false" customHeight="false" outlineLevel="0" collapsed="false">
      <c r="A12" s="7" t="s">
        <v>50</v>
      </c>
    </row>
  </sheetData>
  <mergeCells count="1">
    <mergeCell ref="A1:A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32"/>
    <col collapsed="false" customWidth="true" hidden="false" outlineLevel="0" max="4" min="4" style="0" width="60"/>
    <col collapsed="false" customWidth="true" hidden="false" outlineLevel="0" max="5" min="5" style="0" width="40"/>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50"/>
  </cols>
  <sheetData>
    <row r="1" customFormat="false" ht="26.85" hidden="false" customHeight="false" outlineLevel="0" collapsed="false">
      <c r="A1" s="2" t="s">
        <v>51</v>
      </c>
      <c r="B1" s="2" t="s">
        <v>52</v>
      </c>
      <c r="C1" s="2" t="s">
        <v>53</v>
      </c>
      <c r="D1" s="2" t="s">
        <v>54</v>
      </c>
      <c r="E1" s="2" t="s">
        <v>55</v>
      </c>
      <c r="F1" s="2" t="s">
        <v>56</v>
      </c>
      <c r="G1" s="2" t="s">
        <v>57</v>
      </c>
      <c r="H1" s="2" t="s">
        <v>58</v>
      </c>
      <c r="I1" s="2" t="s">
        <v>59</v>
      </c>
    </row>
    <row r="2" customFormat="false" ht="90" hidden="false" customHeight="true" outlineLevel="0" collapsed="false">
      <c r="A2" s="8" t="s">
        <v>37</v>
      </c>
      <c r="B2" s="8" t="s">
        <v>60</v>
      </c>
      <c r="C2" s="8" t="s">
        <v>38</v>
      </c>
      <c r="D2" s="8" t="s">
        <v>61</v>
      </c>
      <c r="E2" s="8" t="s">
        <v>62</v>
      </c>
      <c r="F2" s="8" t="s">
        <v>63</v>
      </c>
      <c r="G2" s="8" t="n">
        <v>0</v>
      </c>
      <c r="H2" s="8" t="n">
        <v>8</v>
      </c>
      <c r="I2" s="8" t="s">
        <v>64</v>
      </c>
    </row>
    <row r="3" customFormat="false" ht="90" hidden="false" customHeight="true" outlineLevel="0" collapsed="false">
      <c r="A3" s="8" t="s">
        <v>40</v>
      </c>
      <c r="B3" s="8" t="s">
        <v>60</v>
      </c>
      <c r="C3" s="8" t="s">
        <v>41</v>
      </c>
      <c r="D3" s="8" t="s">
        <v>65</v>
      </c>
      <c r="E3" s="8" t="s">
        <v>66</v>
      </c>
      <c r="F3" s="8" t="s">
        <v>63</v>
      </c>
      <c r="G3" s="8" t="n">
        <v>0</v>
      </c>
      <c r="H3" s="8" t="n">
        <v>4</v>
      </c>
      <c r="I3" s="8" t="s">
        <v>67</v>
      </c>
    </row>
    <row r="4" customFormat="false" ht="90" hidden="false" customHeight="true" outlineLevel="0" collapsed="false">
      <c r="A4" s="8" t="s">
        <v>42</v>
      </c>
      <c r="B4" s="8" t="s">
        <v>60</v>
      </c>
      <c r="C4" s="8" t="s">
        <v>43</v>
      </c>
      <c r="D4" s="8" t="s">
        <v>68</v>
      </c>
      <c r="E4" s="8" t="s">
        <v>69</v>
      </c>
      <c r="F4" s="8" t="s">
        <v>63</v>
      </c>
      <c r="G4" s="8" t="n">
        <v>0</v>
      </c>
      <c r="H4" s="8" t="n">
        <v>5</v>
      </c>
      <c r="I4" s="8" t="s">
        <v>70</v>
      </c>
    </row>
    <row r="5" customFormat="false" ht="90" hidden="false" customHeight="true" outlineLevel="0" collapsed="false">
      <c r="A5" s="8" t="s">
        <v>44</v>
      </c>
      <c r="B5" s="8" t="s">
        <v>60</v>
      </c>
      <c r="C5" s="8" t="s">
        <v>45</v>
      </c>
      <c r="D5" s="8" t="s">
        <v>71</v>
      </c>
      <c r="E5" s="8" t="s">
        <v>72</v>
      </c>
      <c r="F5" s="8" t="s">
        <v>63</v>
      </c>
      <c r="G5" s="8" t="n">
        <v>2</v>
      </c>
      <c r="H5" s="8" t="n">
        <v>4</v>
      </c>
      <c r="I5" s="8" t="s">
        <v>73</v>
      </c>
    </row>
    <row r="6" customFormat="false" ht="90" hidden="false" customHeight="true" outlineLevel="0" collapsed="false">
      <c r="A6" s="8" t="s">
        <v>46</v>
      </c>
      <c r="B6" s="8" t="s">
        <v>60</v>
      </c>
      <c r="C6" s="8" t="s">
        <v>47</v>
      </c>
      <c r="D6" s="8" t="s">
        <v>74</v>
      </c>
      <c r="E6" s="8" t="s">
        <v>75</v>
      </c>
      <c r="F6" s="8" t="s">
        <v>63</v>
      </c>
      <c r="G6" s="8" t="n">
        <v>2</v>
      </c>
      <c r="H6" s="8" t="n">
        <v>10</v>
      </c>
      <c r="I6" s="8" t="s">
        <v>76</v>
      </c>
    </row>
    <row r="7" customFormat="false" ht="90" hidden="false" customHeight="true" outlineLevel="0" collapsed="false">
      <c r="A7" s="8" t="s">
        <v>48</v>
      </c>
      <c r="B7" s="8" t="s">
        <v>60</v>
      </c>
      <c r="C7" s="8" t="s">
        <v>49</v>
      </c>
      <c r="D7" s="8" t="s">
        <v>77</v>
      </c>
      <c r="E7" s="8" t="s">
        <v>78</v>
      </c>
      <c r="F7" s="8" t="s">
        <v>63</v>
      </c>
      <c r="G7" s="8" t="n">
        <v>3</v>
      </c>
      <c r="H7" s="8" t="n">
        <v>4</v>
      </c>
      <c r="I7" s="8"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32"/>
    <col collapsed="false" customWidth="true" hidden="false" outlineLevel="0" max="4" min="4" style="0" width="22"/>
    <col collapsed="false" customWidth="true" hidden="false" outlineLevel="0" max="5" min="5" style="0" width="56"/>
    <col collapsed="false" customWidth="true" hidden="false" outlineLevel="0" max="6" min="6" style="0" width="36"/>
    <col collapsed="false" customWidth="true" hidden="false" outlineLevel="0" max="7" min="7" style="0" width="22"/>
    <col collapsed="false" customWidth="true" hidden="false" outlineLevel="0" max="9" min="8" style="0" width="10"/>
    <col collapsed="false" customWidth="true" hidden="false" outlineLevel="0" max="10" min="10" style="0" width="44"/>
  </cols>
  <sheetData>
    <row r="1" customFormat="false" ht="26.85" hidden="false" customHeight="false" outlineLevel="0" collapsed="false">
      <c r="A1" s="2" t="s">
        <v>51</v>
      </c>
      <c r="B1" s="2" t="s">
        <v>52</v>
      </c>
      <c r="C1" s="2" t="s">
        <v>53</v>
      </c>
      <c r="D1" s="2" t="s">
        <v>80</v>
      </c>
      <c r="E1" s="2" t="s">
        <v>54</v>
      </c>
      <c r="F1" s="2" t="s">
        <v>55</v>
      </c>
      <c r="G1" s="2" t="s">
        <v>81</v>
      </c>
      <c r="H1" s="2" t="s">
        <v>56</v>
      </c>
      <c r="I1" s="2" t="s">
        <v>57</v>
      </c>
      <c r="J1" s="2" t="s">
        <v>59</v>
      </c>
    </row>
    <row r="2" customFormat="false" ht="90" hidden="false" customHeight="true" outlineLevel="0" collapsed="false">
      <c r="A2" s="8" t="s">
        <v>3</v>
      </c>
      <c r="B2" s="8" t="s">
        <v>82</v>
      </c>
      <c r="C2" s="8" t="s">
        <v>83</v>
      </c>
      <c r="D2" s="8" t="s">
        <v>37</v>
      </c>
      <c r="E2" s="8" t="s">
        <v>84</v>
      </c>
      <c r="F2" s="8" t="s">
        <v>85</v>
      </c>
      <c r="G2" s="8" t="s">
        <v>86</v>
      </c>
      <c r="H2" s="8" t="s">
        <v>87</v>
      </c>
      <c r="I2" s="8" t="n">
        <v>0</v>
      </c>
      <c r="J2" s="8" t="s">
        <v>88</v>
      </c>
    </row>
    <row r="3" customFormat="false" ht="90" hidden="false" customHeight="true" outlineLevel="0" collapsed="false">
      <c r="A3" s="8" t="s">
        <v>4</v>
      </c>
      <c r="B3" s="8" t="s">
        <v>82</v>
      </c>
      <c r="C3" s="8" t="s">
        <v>89</v>
      </c>
      <c r="D3" s="8" t="s">
        <v>37</v>
      </c>
      <c r="E3" s="8" t="s">
        <v>90</v>
      </c>
      <c r="F3" s="8" t="s">
        <v>91</v>
      </c>
      <c r="G3" s="8" t="s">
        <v>92</v>
      </c>
      <c r="H3" s="8" t="s">
        <v>87</v>
      </c>
      <c r="I3" s="8" t="n">
        <v>0</v>
      </c>
      <c r="J3" s="8" t="s">
        <v>93</v>
      </c>
    </row>
    <row r="4" customFormat="false" ht="90" hidden="false" customHeight="true" outlineLevel="0" collapsed="false">
      <c r="A4" s="8" t="s">
        <v>10</v>
      </c>
      <c r="B4" s="8" t="s">
        <v>82</v>
      </c>
      <c r="C4" s="8" t="s">
        <v>94</v>
      </c>
      <c r="D4" s="8" t="s">
        <v>40</v>
      </c>
      <c r="E4" s="8" t="s">
        <v>95</v>
      </c>
      <c r="F4" s="8" t="s">
        <v>96</v>
      </c>
      <c r="G4" s="8" t="s">
        <v>97</v>
      </c>
      <c r="H4" s="8" t="s">
        <v>87</v>
      </c>
      <c r="I4" s="8" t="n">
        <v>0</v>
      </c>
      <c r="J4" s="8" t="s">
        <v>98</v>
      </c>
    </row>
    <row r="5" customFormat="false" ht="90" hidden="false" customHeight="true" outlineLevel="0" collapsed="false">
      <c r="A5" s="8" t="s">
        <v>11</v>
      </c>
      <c r="B5" s="8" t="s">
        <v>82</v>
      </c>
      <c r="C5" s="8" t="s">
        <v>99</v>
      </c>
      <c r="D5" s="8" t="s">
        <v>40</v>
      </c>
      <c r="E5" s="8" t="s">
        <v>100</v>
      </c>
      <c r="F5" s="8" t="s">
        <v>101</v>
      </c>
      <c r="G5" s="8" t="s">
        <v>102</v>
      </c>
      <c r="H5" s="8" t="s">
        <v>87</v>
      </c>
      <c r="I5" s="8" t="n">
        <v>0</v>
      </c>
      <c r="J5" s="8" t="s">
        <v>103</v>
      </c>
    </row>
    <row r="6" customFormat="false" ht="90" hidden="false" customHeight="true" outlineLevel="0" collapsed="false">
      <c r="A6" s="8" t="s">
        <v>15</v>
      </c>
      <c r="B6" s="8" t="s">
        <v>82</v>
      </c>
      <c r="C6" s="8" t="s">
        <v>104</v>
      </c>
      <c r="D6" s="8" t="s">
        <v>44</v>
      </c>
      <c r="E6" s="8" t="s">
        <v>105</v>
      </c>
      <c r="F6" s="8" t="s">
        <v>106</v>
      </c>
      <c r="G6" s="8" t="s">
        <v>107</v>
      </c>
      <c r="H6" s="8" t="s">
        <v>87</v>
      </c>
      <c r="I6" s="8" t="n">
        <v>0</v>
      </c>
      <c r="J6" s="8" t="s">
        <v>108</v>
      </c>
    </row>
    <row r="7" customFormat="false" ht="90" hidden="false" customHeight="true" outlineLevel="0" collapsed="false">
      <c r="A7" s="8" t="s">
        <v>25</v>
      </c>
      <c r="B7" s="8" t="s">
        <v>82</v>
      </c>
      <c r="C7" s="8" t="s">
        <v>109</v>
      </c>
      <c r="D7" s="8" t="s">
        <v>48</v>
      </c>
      <c r="E7" s="8" t="s">
        <v>110</v>
      </c>
      <c r="F7" s="8" t="s">
        <v>111</v>
      </c>
      <c r="G7" s="8" t="s">
        <v>112</v>
      </c>
      <c r="H7" s="8" t="s">
        <v>87</v>
      </c>
      <c r="I7" s="8" t="n">
        <v>2</v>
      </c>
      <c r="J7" s="8" t="s">
        <v>113</v>
      </c>
    </row>
    <row r="8" customFormat="false" ht="90" hidden="false" customHeight="true" outlineLevel="0" collapsed="false">
      <c r="A8" s="8" t="s">
        <v>6</v>
      </c>
      <c r="B8" s="8" t="s">
        <v>114</v>
      </c>
      <c r="C8" s="8" t="s">
        <v>115</v>
      </c>
      <c r="D8" s="8" t="s">
        <v>37</v>
      </c>
      <c r="E8" s="8" t="s">
        <v>116</v>
      </c>
      <c r="F8" s="8" t="s">
        <v>117</v>
      </c>
      <c r="G8" s="8" t="s">
        <v>118</v>
      </c>
      <c r="H8" s="8" t="s">
        <v>87</v>
      </c>
      <c r="I8" s="8" t="n">
        <v>0</v>
      </c>
      <c r="J8" s="8" t="s">
        <v>119</v>
      </c>
    </row>
    <row r="9" customFormat="false" ht="90" hidden="false" customHeight="true" outlineLevel="0" collapsed="false">
      <c r="A9" s="8" t="s">
        <v>8</v>
      </c>
      <c r="B9" s="8" t="s">
        <v>120</v>
      </c>
      <c r="C9" s="8" t="s">
        <v>121</v>
      </c>
      <c r="D9" s="8" t="s">
        <v>37</v>
      </c>
      <c r="E9" s="8" t="s">
        <v>122</v>
      </c>
      <c r="F9" s="8" t="s">
        <v>123</v>
      </c>
      <c r="G9" s="8" t="s">
        <v>124</v>
      </c>
      <c r="H9" s="8" t="s">
        <v>87</v>
      </c>
      <c r="I9" s="8" t="n">
        <v>0</v>
      </c>
      <c r="J9" s="8" t="s">
        <v>125</v>
      </c>
    </row>
    <row r="10" customFormat="false" ht="90" hidden="false" customHeight="true" outlineLevel="0" collapsed="false">
      <c r="A10" s="8" t="s">
        <v>12</v>
      </c>
      <c r="B10" s="8" t="s">
        <v>120</v>
      </c>
      <c r="C10" s="8" t="s">
        <v>126</v>
      </c>
      <c r="D10" s="8" t="s">
        <v>40</v>
      </c>
      <c r="E10" s="8" t="s">
        <v>127</v>
      </c>
      <c r="F10" s="8" t="s">
        <v>128</v>
      </c>
      <c r="G10" s="8" t="s">
        <v>129</v>
      </c>
      <c r="H10" s="8" t="s">
        <v>87</v>
      </c>
      <c r="I10" s="8" t="n">
        <v>0</v>
      </c>
      <c r="J10" s="8" t="s">
        <v>130</v>
      </c>
    </row>
    <row r="11" customFormat="false" ht="90" hidden="false" customHeight="true" outlineLevel="0" collapsed="false">
      <c r="A11" s="8" t="s">
        <v>16</v>
      </c>
      <c r="B11" s="8" t="s">
        <v>120</v>
      </c>
      <c r="C11" s="8" t="s">
        <v>131</v>
      </c>
      <c r="D11" s="8" t="s">
        <v>44</v>
      </c>
      <c r="E11" s="8" t="s">
        <v>132</v>
      </c>
      <c r="F11" s="8" t="s">
        <v>133</v>
      </c>
      <c r="G11" s="8" t="s">
        <v>134</v>
      </c>
      <c r="H11" s="8" t="s">
        <v>87</v>
      </c>
      <c r="I11" s="8" t="n">
        <v>0</v>
      </c>
      <c r="J11" s="8" t="s">
        <v>135</v>
      </c>
    </row>
    <row r="12" customFormat="false" ht="90" hidden="false" customHeight="true" outlineLevel="0" collapsed="false">
      <c r="A12" s="8" t="s">
        <v>5</v>
      </c>
      <c r="B12" s="8" t="s">
        <v>136</v>
      </c>
      <c r="C12" s="8" t="s">
        <v>137</v>
      </c>
      <c r="D12" s="8" t="s">
        <v>138</v>
      </c>
      <c r="E12" s="8" t="s">
        <v>139</v>
      </c>
      <c r="F12" s="8" t="s">
        <v>140</v>
      </c>
      <c r="G12" s="8" t="s">
        <v>141</v>
      </c>
      <c r="H12" s="8" t="s">
        <v>87</v>
      </c>
      <c r="I12" s="8" t="n">
        <v>0</v>
      </c>
      <c r="J12" s="8" t="s">
        <v>142</v>
      </c>
    </row>
    <row r="13" customFormat="false" ht="90" hidden="false" customHeight="true" outlineLevel="0" collapsed="false">
      <c r="A13" s="8" t="s">
        <v>7</v>
      </c>
      <c r="B13" s="8" t="s">
        <v>143</v>
      </c>
      <c r="C13" s="8" t="s">
        <v>144</v>
      </c>
      <c r="D13" s="8" t="s">
        <v>37</v>
      </c>
      <c r="E13" s="8" t="s">
        <v>145</v>
      </c>
      <c r="F13" s="8" t="s">
        <v>146</v>
      </c>
      <c r="G13" s="8" t="s">
        <v>118</v>
      </c>
      <c r="H13" s="8" t="s">
        <v>87</v>
      </c>
      <c r="I13" s="8" t="n">
        <v>0</v>
      </c>
      <c r="J13" s="8" t="s">
        <v>147</v>
      </c>
    </row>
    <row r="14" customFormat="false" ht="90" hidden="false" customHeight="true" outlineLevel="0" collapsed="false">
      <c r="A14" s="8" t="s">
        <v>22</v>
      </c>
      <c r="B14" s="8" t="s">
        <v>143</v>
      </c>
      <c r="C14" s="8" t="s">
        <v>148</v>
      </c>
      <c r="D14" s="8" t="s">
        <v>46</v>
      </c>
      <c r="E14" s="8" t="s">
        <v>149</v>
      </c>
      <c r="F14" s="8" t="s">
        <v>150</v>
      </c>
      <c r="G14" s="8" t="s">
        <v>151</v>
      </c>
      <c r="H14" s="8" t="s">
        <v>87</v>
      </c>
      <c r="I14" s="8" t="n">
        <v>0</v>
      </c>
      <c r="J14" s="8" t="s">
        <v>152</v>
      </c>
    </row>
    <row r="15" customFormat="false" ht="90" hidden="false" customHeight="true" outlineLevel="0" collapsed="false">
      <c r="A15" s="8" t="s">
        <v>23</v>
      </c>
      <c r="B15" s="8" t="s">
        <v>143</v>
      </c>
      <c r="C15" s="8" t="s">
        <v>153</v>
      </c>
      <c r="D15" s="8" t="s">
        <v>48</v>
      </c>
      <c r="E15" s="8" t="s">
        <v>154</v>
      </c>
      <c r="F15" s="8" t="s">
        <v>155</v>
      </c>
      <c r="G15" s="8" t="s">
        <v>151</v>
      </c>
      <c r="H15" s="8" t="s">
        <v>87</v>
      </c>
      <c r="I15" s="8" t="n">
        <v>0</v>
      </c>
      <c r="J15" s="8" t="s">
        <v>156</v>
      </c>
    </row>
    <row r="16" customFormat="false" ht="90" hidden="false" customHeight="true" outlineLevel="0" collapsed="false">
      <c r="A16" s="8" t="s">
        <v>26</v>
      </c>
      <c r="B16" s="8" t="s">
        <v>143</v>
      </c>
      <c r="C16" s="8" t="s">
        <v>157</v>
      </c>
      <c r="D16" s="8" t="s">
        <v>158</v>
      </c>
      <c r="E16" s="8" t="s">
        <v>159</v>
      </c>
      <c r="F16" s="8" t="s">
        <v>160</v>
      </c>
      <c r="G16" s="8" t="s">
        <v>151</v>
      </c>
      <c r="H16" s="8" t="s">
        <v>87</v>
      </c>
      <c r="I16" s="8" t="n">
        <v>0</v>
      </c>
      <c r="J16" s="8" t="s">
        <v>161</v>
      </c>
    </row>
    <row r="17" customFormat="false" ht="90" hidden="false" customHeight="true" outlineLevel="0" collapsed="false">
      <c r="A17" s="8" t="s">
        <v>30</v>
      </c>
      <c r="B17" s="8" t="s">
        <v>143</v>
      </c>
      <c r="C17" s="8" t="s">
        <v>162</v>
      </c>
      <c r="D17" s="8" t="s">
        <v>42</v>
      </c>
      <c r="E17" s="8" t="s">
        <v>163</v>
      </c>
      <c r="F17" s="8" t="s">
        <v>164</v>
      </c>
      <c r="G17" s="8" t="s">
        <v>151</v>
      </c>
      <c r="H17" s="8" t="s">
        <v>87</v>
      </c>
      <c r="I17" s="8" t="n">
        <v>0</v>
      </c>
      <c r="J17" s="8" t="s">
        <v>165</v>
      </c>
    </row>
    <row r="18" customFormat="false" ht="90" hidden="false" customHeight="true" outlineLevel="0" collapsed="false">
      <c r="A18" s="8" t="s">
        <v>31</v>
      </c>
      <c r="B18" s="8" t="s">
        <v>143</v>
      </c>
      <c r="C18" s="8" t="s">
        <v>166</v>
      </c>
      <c r="D18" s="8" t="s">
        <v>46</v>
      </c>
      <c r="E18" s="8" t="s">
        <v>167</v>
      </c>
      <c r="F18" s="8" t="s">
        <v>168</v>
      </c>
      <c r="G18" s="8" t="s">
        <v>151</v>
      </c>
      <c r="H18" s="8" t="s">
        <v>87</v>
      </c>
      <c r="I18" s="8" t="n">
        <v>0</v>
      </c>
      <c r="J18" s="8" t="s">
        <v>169</v>
      </c>
    </row>
    <row r="19" customFormat="false" ht="90" hidden="false" customHeight="true" outlineLevel="0" collapsed="false">
      <c r="A19" s="8" t="s">
        <v>32</v>
      </c>
      <c r="B19" s="8" t="s">
        <v>143</v>
      </c>
      <c r="C19" s="8" t="s">
        <v>170</v>
      </c>
      <c r="D19" s="8" t="s">
        <v>42</v>
      </c>
      <c r="E19" s="8" t="s">
        <v>171</v>
      </c>
      <c r="F19" s="8" t="s">
        <v>172</v>
      </c>
      <c r="G19" s="8" t="s">
        <v>151</v>
      </c>
      <c r="H19" s="8" t="s">
        <v>87</v>
      </c>
      <c r="I19" s="8" t="n">
        <v>0</v>
      </c>
      <c r="J19" s="8" t="s">
        <v>173</v>
      </c>
    </row>
    <row r="20" customFormat="false" ht="90" hidden="false" customHeight="true" outlineLevel="0" collapsed="false">
      <c r="A20" s="8" t="s">
        <v>33</v>
      </c>
      <c r="B20" s="8" t="s">
        <v>143</v>
      </c>
      <c r="C20" s="8" t="s">
        <v>174</v>
      </c>
      <c r="D20" s="8" t="s">
        <v>37</v>
      </c>
      <c r="E20" s="8" t="s">
        <v>175</v>
      </c>
      <c r="F20" s="8" t="s">
        <v>176</v>
      </c>
      <c r="G20" s="8" t="s">
        <v>151</v>
      </c>
      <c r="H20" s="8" t="s">
        <v>87</v>
      </c>
      <c r="I20" s="8" t="n">
        <v>0</v>
      </c>
      <c r="J20" s="8" t="s">
        <v>177</v>
      </c>
    </row>
    <row r="21" customFormat="false" ht="90" hidden="false" customHeight="true" outlineLevel="0" collapsed="false">
      <c r="A21" s="8" t="s">
        <v>17</v>
      </c>
      <c r="B21" s="8" t="s">
        <v>178</v>
      </c>
      <c r="C21" s="8" t="s">
        <v>179</v>
      </c>
      <c r="D21" s="8" t="s">
        <v>46</v>
      </c>
      <c r="E21" s="8" t="s">
        <v>180</v>
      </c>
      <c r="F21" s="8" t="s">
        <v>181</v>
      </c>
      <c r="G21" s="8" t="s">
        <v>151</v>
      </c>
      <c r="H21" s="8" t="s">
        <v>87</v>
      </c>
      <c r="I21" s="8" t="n">
        <v>1</v>
      </c>
      <c r="J21" s="8" t="s">
        <v>182</v>
      </c>
    </row>
    <row r="22" customFormat="false" ht="90" hidden="false" customHeight="true" outlineLevel="0" collapsed="false">
      <c r="A22" s="8" t="s">
        <v>18</v>
      </c>
      <c r="B22" s="8" t="s">
        <v>178</v>
      </c>
      <c r="C22" s="8" t="s">
        <v>183</v>
      </c>
      <c r="D22" s="8" t="s">
        <v>46</v>
      </c>
      <c r="E22" s="8" t="s">
        <v>184</v>
      </c>
      <c r="F22" s="8" t="s">
        <v>185</v>
      </c>
      <c r="G22" s="8" t="s">
        <v>118</v>
      </c>
      <c r="H22" s="8" t="s">
        <v>87</v>
      </c>
      <c r="I22" s="8" t="n">
        <v>1</v>
      </c>
      <c r="J22" s="8" t="s">
        <v>186</v>
      </c>
    </row>
    <row r="23" customFormat="false" ht="90" hidden="false" customHeight="true" outlineLevel="0" collapsed="false">
      <c r="A23" s="8" t="s">
        <v>9</v>
      </c>
      <c r="B23" s="8" t="s">
        <v>187</v>
      </c>
      <c r="C23" s="8" t="s">
        <v>188</v>
      </c>
      <c r="D23" s="8" t="s">
        <v>189</v>
      </c>
      <c r="E23" s="8" t="s">
        <v>190</v>
      </c>
      <c r="F23" s="8" t="s">
        <v>191</v>
      </c>
      <c r="G23" s="8" t="s">
        <v>192</v>
      </c>
      <c r="H23" s="8" t="s">
        <v>87</v>
      </c>
      <c r="I23" s="8" t="n">
        <v>1</v>
      </c>
      <c r="J23" s="8" t="s">
        <v>193</v>
      </c>
    </row>
    <row r="24" customFormat="false" ht="90" hidden="false" customHeight="true" outlineLevel="0" collapsed="false">
      <c r="A24" s="8" t="s">
        <v>19</v>
      </c>
      <c r="B24" s="8" t="s">
        <v>187</v>
      </c>
      <c r="C24" s="8" t="s">
        <v>194</v>
      </c>
      <c r="D24" s="8" t="s">
        <v>46</v>
      </c>
      <c r="E24" s="8" t="s">
        <v>195</v>
      </c>
      <c r="F24" s="8" t="s">
        <v>196</v>
      </c>
      <c r="G24" s="8" t="s">
        <v>118</v>
      </c>
      <c r="H24" s="8" t="s">
        <v>87</v>
      </c>
      <c r="I24" s="8" t="n">
        <v>0</v>
      </c>
      <c r="J24" s="8" t="s">
        <v>197</v>
      </c>
    </row>
    <row r="25" customFormat="false" ht="90" hidden="false" customHeight="true" outlineLevel="0" collapsed="false">
      <c r="A25" s="8" t="s">
        <v>20</v>
      </c>
      <c r="B25" s="8" t="s">
        <v>187</v>
      </c>
      <c r="C25" s="8" t="s">
        <v>198</v>
      </c>
      <c r="D25" s="8" t="s">
        <v>189</v>
      </c>
      <c r="E25" s="8" t="s">
        <v>199</v>
      </c>
      <c r="F25" s="8" t="s">
        <v>200</v>
      </c>
      <c r="G25" s="8" t="s">
        <v>201</v>
      </c>
      <c r="H25" s="8" t="s">
        <v>87</v>
      </c>
      <c r="I25" s="8" t="n">
        <v>1</v>
      </c>
      <c r="J25" s="8" t="s">
        <v>202</v>
      </c>
    </row>
    <row r="26" customFormat="false" ht="90" hidden="false" customHeight="true" outlineLevel="0" collapsed="false">
      <c r="A26" s="8" t="s">
        <v>21</v>
      </c>
      <c r="B26" s="8" t="s">
        <v>187</v>
      </c>
      <c r="C26" s="8" t="s">
        <v>203</v>
      </c>
      <c r="D26" s="8" t="s">
        <v>46</v>
      </c>
      <c r="E26" s="8" t="s">
        <v>204</v>
      </c>
      <c r="F26" s="8" t="s">
        <v>205</v>
      </c>
      <c r="G26" s="8" t="s">
        <v>151</v>
      </c>
      <c r="H26" s="8" t="s">
        <v>87</v>
      </c>
      <c r="I26" s="8" t="n">
        <v>1</v>
      </c>
      <c r="J26" s="8" t="s">
        <v>206</v>
      </c>
    </row>
    <row r="27" customFormat="false" ht="90" hidden="false" customHeight="true" outlineLevel="0" collapsed="false">
      <c r="A27" s="8" t="s">
        <v>24</v>
      </c>
      <c r="B27" s="8" t="s">
        <v>187</v>
      </c>
      <c r="C27" s="8" t="s">
        <v>207</v>
      </c>
      <c r="D27" s="8" t="s">
        <v>48</v>
      </c>
      <c r="E27" s="8" t="s">
        <v>208</v>
      </c>
      <c r="F27" s="8" t="s">
        <v>209</v>
      </c>
      <c r="G27" s="8" t="s">
        <v>210</v>
      </c>
      <c r="H27" s="8" t="s">
        <v>87</v>
      </c>
      <c r="I27" s="8" t="n">
        <v>2</v>
      </c>
      <c r="J27" s="8" t="s">
        <v>211</v>
      </c>
    </row>
    <row r="28" customFormat="false" ht="90" hidden="false" customHeight="true" outlineLevel="0" collapsed="false">
      <c r="A28" s="8" t="s">
        <v>27</v>
      </c>
      <c r="B28" s="8" t="s">
        <v>187</v>
      </c>
      <c r="C28" s="8" t="s">
        <v>212</v>
      </c>
      <c r="D28" s="8" t="s">
        <v>213</v>
      </c>
      <c r="E28" s="8" t="s">
        <v>214</v>
      </c>
      <c r="F28" s="8" t="s">
        <v>215</v>
      </c>
      <c r="G28" s="8" t="s">
        <v>216</v>
      </c>
      <c r="H28" s="8" t="s">
        <v>87</v>
      </c>
      <c r="I28" s="8" t="n">
        <v>2</v>
      </c>
      <c r="J28" s="8" t="s">
        <v>217</v>
      </c>
    </row>
    <row r="29" customFormat="false" ht="90" hidden="false" customHeight="true" outlineLevel="0" collapsed="false">
      <c r="A29" s="8" t="s">
        <v>28</v>
      </c>
      <c r="B29" s="8" t="s">
        <v>187</v>
      </c>
      <c r="C29" s="8" t="s">
        <v>218</v>
      </c>
      <c r="D29" s="8" t="s">
        <v>219</v>
      </c>
      <c r="E29" s="8" t="s">
        <v>220</v>
      </c>
      <c r="F29" s="8" t="s">
        <v>221</v>
      </c>
      <c r="G29" s="8" t="s">
        <v>151</v>
      </c>
      <c r="H29" s="8" t="s">
        <v>87</v>
      </c>
      <c r="I29" s="8" t="n">
        <v>1</v>
      </c>
      <c r="J29" s="8" t="s">
        <v>222</v>
      </c>
    </row>
    <row r="30" customFormat="false" ht="90" hidden="false" customHeight="true" outlineLevel="0" collapsed="false">
      <c r="A30" s="8" t="s">
        <v>29</v>
      </c>
      <c r="B30" s="8" t="s">
        <v>187</v>
      </c>
      <c r="C30" s="8" t="s">
        <v>223</v>
      </c>
      <c r="D30" s="8" t="s">
        <v>42</v>
      </c>
      <c r="E30" s="8" t="s">
        <v>224</v>
      </c>
      <c r="F30" s="8" t="s">
        <v>225</v>
      </c>
      <c r="G30" s="8" t="s">
        <v>151</v>
      </c>
      <c r="H30" s="8" t="s">
        <v>87</v>
      </c>
      <c r="I30" s="8" t="n">
        <v>2</v>
      </c>
      <c r="J30" s="8" t="s">
        <v>226</v>
      </c>
    </row>
    <row r="31" customFormat="false" ht="90" hidden="false" customHeight="true" outlineLevel="0" collapsed="false">
      <c r="A31" s="8" t="s">
        <v>34</v>
      </c>
      <c r="B31" s="8" t="s">
        <v>187</v>
      </c>
      <c r="C31" s="8" t="s">
        <v>227</v>
      </c>
      <c r="D31" s="8" t="s">
        <v>46</v>
      </c>
      <c r="E31" s="8" t="s">
        <v>228</v>
      </c>
      <c r="F31" s="8" t="s">
        <v>229</v>
      </c>
      <c r="G31" s="8" t="s">
        <v>192</v>
      </c>
      <c r="H31" s="8" t="s">
        <v>87</v>
      </c>
      <c r="I31" s="8" t="n">
        <v>1</v>
      </c>
      <c r="J31" s="8" t="s">
        <v>230</v>
      </c>
    </row>
    <row r="32" customFormat="false" ht="90" hidden="false" customHeight="true" outlineLevel="0" collapsed="false">
      <c r="A32" s="8" t="s">
        <v>35</v>
      </c>
      <c r="B32" s="8" t="s">
        <v>187</v>
      </c>
      <c r="C32" s="8" t="s">
        <v>231</v>
      </c>
      <c r="D32" s="8" t="s">
        <v>46</v>
      </c>
      <c r="E32" s="8" t="s">
        <v>232</v>
      </c>
      <c r="F32" s="8" t="s">
        <v>233</v>
      </c>
      <c r="G32" s="8" t="s">
        <v>151</v>
      </c>
      <c r="H32" s="8" t="s">
        <v>87</v>
      </c>
      <c r="I32" s="8" t="n">
        <v>2</v>
      </c>
      <c r="J32" s="8" t="s">
        <v>234</v>
      </c>
    </row>
    <row r="33" customFormat="false" ht="90" hidden="false" customHeight="true" outlineLevel="0" collapsed="false">
      <c r="A33" s="8" t="s">
        <v>36</v>
      </c>
      <c r="B33" s="8" t="s">
        <v>187</v>
      </c>
      <c r="C33" s="8" t="s">
        <v>235</v>
      </c>
      <c r="D33" s="8" t="s">
        <v>46</v>
      </c>
      <c r="E33" s="8" t="s">
        <v>236</v>
      </c>
      <c r="F33" s="8" t="s">
        <v>237</v>
      </c>
      <c r="G33" s="8" t="s">
        <v>238</v>
      </c>
      <c r="H33" s="8" t="s">
        <v>87</v>
      </c>
      <c r="I33" s="8" t="n">
        <v>1</v>
      </c>
      <c r="J33" s="8" t="s">
        <v>239</v>
      </c>
    </row>
    <row r="34" customFormat="false" ht="90" hidden="false" customHeight="true" outlineLevel="0" collapsed="false">
      <c r="A34" s="8" t="s">
        <v>13</v>
      </c>
      <c r="B34" s="8" t="s">
        <v>240</v>
      </c>
      <c r="C34" s="8" t="s">
        <v>241</v>
      </c>
      <c r="D34" s="8" t="s">
        <v>44</v>
      </c>
      <c r="E34" s="8" t="s">
        <v>242</v>
      </c>
      <c r="F34" s="8" t="s">
        <v>243</v>
      </c>
      <c r="G34" s="8" t="s">
        <v>244</v>
      </c>
      <c r="H34" s="8" t="s">
        <v>87</v>
      </c>
      <c r="I34" s="8" t="n">
        <v>2</v>
      </c>
      <c r="J34" s="8" t="s">
        <v>245</v>
      </c>
    </row>
    <row r="35" customFormat="false" ht="90" hidden="false" customHeight="true" outlineLevel="0" collapsed="false">
      <c r="A35" s="8" t="s">
        <v>14</v>
      </c>
      <c r="B35" s="8" t="s">
        <v>240</v>
      </c>
      <c r="C35" s="8" t="s">
        <v>246</v>
      </c>
      <c r="D35" s="8" t="s">
        <v>44</v>
      </c>
      <c r="E35" s="8" t="s">
        <v>247</v>
      </c>
      <c r="F35" s="8" t="s">
        <v>248</v>
      </c>
      <c r="G35" s="8" t="s">
        <v>102</v>
      </c>
      <c r="H35" s="8" t="s">
        <v>87</v>
      </c>
      <c r="I35" s="8" t="n">
        <v>1</v>
      </c>
      <c r="J35" s="8" t="s">
        <v>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4" min="3" style="0" width="10"/>
    <col collapsed="false" customWidth="true" hidden="false" outlineLevel="0" max="5" min="5" style="0" width="12"/>
    <col collapsed="false" customWidth="true" hidden="false" outlineLevel="0" max="6" min="6" style="0" width="32"/>
    <col collapsed="false" customWidth="true" hidden="false" outlineLevel="0" max="7" min="7" style="0" width="18"/>
    <col collapsed="false" customWidth="true" hidden="false" outlineLevel="0" max="8" min="8" style="0" width="60"/>
    <col collapsed="false" customWidth="true" hidden="false" outlineLevel="0" max="9" min="9" style="0" width="40"/>
  </cols>
  <sheetData>
    <row r="1" customFormat="false" ht="26.85" hidden="false" customHeight="false" outlineLevel="0" collapsed="false">
      <c r="A1" s="2" t="s">
        <v>51</v>
      </c>
      <c r="B1" s="2" t="s">
        <v>53</v>
      </c>
      <c r="C1" s="2" t="s">
        <v>56</v>
      </c>
      <c r="D1" s="2" t="s">
        <v>250</v>
      </c>
      <c r="E1" s="2" t="s">
        <v>251</v>
      </c>
      <c r="F1" s="2" t="s">
        <v>252</v>
      </c>
      <c r="G1" s="2" t="s">
        <v>253</v>
      </c>
      <c r="H1" s="2" t="s">
        <v>254</v>
      </c>
      <c r="I1" s="2" t="s">
        <v>255</v>
      </c>
    </row>
    <row r="2" customFormat="false" ht="90" hidden="false" customHeight="true" outlineLevel="0" collapsed="false">
      <c r="A2" s="9" t="s">
        <v>256</v>
      </c>
      <c r="B2" s="9" t="s">
        <v>257</v>
      </c>
      <c r="C2" s="9" t="s">
        <v>258</v>
      </c>
      <c r="D2" s="9" t="s">
        <v>259</v>
      </c>
      <c r="E2" s="9" t="n">
        <v>2</v>
      </c>
      <c r="F2" s="9" t="s">
        <v>40</v>
      </c>
      <c r="G2" s="9"/>
      <c r="H2" s="9" t="s">
        <v>260</v>
      </c>
      <c r="I2" s="9" t="s">
        <v>261</v>
      </c>
    </row>
    <row r="3" customFormat="false" ht="90" hidden="false" customHeight="true" outlineLevel="0" collapsed="false">
      <c r="A3" s="9" t="s">
        <v>262</v>
      </c>
      <c r="B3" s="9" t="s">
        <v>263</v>
      </c>
      <c r="C3" s="9" t="s">
        <v>264</v>
      </c>
      <c r="D3" s="9" t="s">
        <v>265</v>
      </c>
      <c r="E3" s="9" t="n">
        <v>0</v>
      </c>
      <c r="F3" s="9" t="s">
        <v>40</v>
      </c>
      <c r="G3" s="9"/>
      <c r="H3" s="9" t="s">
        <v>266</v>
      </c>
      <c r="I3" s="9" t="s">
        <v>267</v>
      </c>
    </row>
    <row r="4" customFormat="false" ht="90" hidden="false" customHeight="true" outlineLevel="0" collapsed="false">
      <c r="A4" s="9" t="s">
        <v>268</v>
      </c>
      <c r="B4" s="9" t="s">
        <v>269</v>
      </c>
      <c r="C4" s="9" t="s">
        <v>270</v>
      </c>
      <c r="D4" s="9" t="s">
        <v>271</v>
      </c>
      <c r="E4" s="9" t="n">
        <v>4</v>
      </c>
      <c r="F4" s="9" t="s">
        <v>48</v>
      </c>
      <c r="G4" s="9"/>
      <c r="H4" s="9" t="s">
        <v>272</v>
      </c>
      <c r="I4" s="9" t="s">
        <v>273</v>
      </c>
    </row>
    <row r="5" customFormat="false" ht="90" hidden="false" customHeight="true" outlineLevel="0" collapsed="false">
      <c r="A5" s="9" t="s">
        <v>274</v>
      </c>
      <c r="B5" s="9" t="s">
        <v>275</v>
      </c>
      <c r="C5" s="9" t="s">
        <v>276</v>
      </c>
      <c r="D5" s="9" t="s">
        <v>277</v>
      </c>
      <c r="E5" s="9" t="n">
        <v>0</v>
      </c>
      <c r="F5" s="9"/>
      <c r="G5" s="9"/>
      <c r="H5" s="9" t="s">
        <v>278</v>
      </c>
      <c r="I5" s="9" t="s">
        <v>279</v>
      </c>
    </row>
    <row r="6" customFormat="false" ht="90" hidden="false" customHeight="true" outlineLevel="0" collapsed="false">
      <c r="A6" s="9" t="s">
        <v>280</v>
      </c>
      <c r="B6" s="9" t="s">
        <v>281</v>
      </c>
      <c r="C6" s="9" t="s">
        <v>264</v>
      </c>
      <c r="D6" s="9" t="s">
        <v>265</v>
      </c>
      <c r="E6" s="9" t="n">
        <v>0</v>
      </c>
      <c r="F6" s="9" t="s">
        <v>46</v>
      </c>
      <c r="G6" s="9"/>
      <c r="H6" s="9" t="s">
        <v>282</v>
      </c>
      <c r="I6" s="9" t="s">
        <v>283</v>
      </c>
    </row>
    <row r="7" customFormat="false" ht="90" hidden="false" customHeight="true" outlineLevel="0" collapsed="false">
      <c r="A7" s="9" t="s">
        <v>284</v>
      </c>
      <c r="B7" s="9" t="s">
        <v>285</v>
      </c>
      <c r="C7" s="9" t="s">
        <v>270</v>
      </c>
      <c r="D7" s="9" t="s">
        <v>286</v>
      </c>
      <c r="E7" s="9" t="n">
        <v>2</v>
      </c>
      <c r="F7" s="9" t="s">
        <v>46</v>
      </c>
      <c r="G7" s="9"/>
      <c r="H7" s="9" t="s">
        <v>287</v>
      </c>
      <c r="I7" s="9" t="s">
        <v>288</v>
      </c>
    </row>
    <row r="8" customFormat="false" ht="90" hidden="false" customHeight="true" outlineLevel="0" collapsed="false">
      <c r="A8" s="9" t="s">
        <v>289</v>
      </c>
      <c r="B8" s="9" t="s">
        <v>290</v>
      </c>
      <c r="C8" s="9" t="s">
        <v>270</v>
      </c>
      <c r="D8" s="9" t="s">
        <v>265</v>
      </c>
      <c r="E8" s="9" t="n">
        <v>3</v>
      </c>
      <c r="F8" s="9" t="s">
        <v>46</v>
      </c>
      <c r="G8" s="9"/>
      <c r="H8" s="9" t="s">
        <v>291</v>
      </c>
      <c r="I8" s="9" t="s">
        <v>292</v>
      </c>
    </row>
    <row r="11" customFormat="false" ht="15" hidden="false" customHeight="false" outlineLevel="0" collapsed="false">
      <c r="D11" s="10" t="s">
        <v>293</v>
      </c>
      <c r="E11" s="10" t="n">
        <f aca="false">SUMIF(C2:C8,"open",E2:E8)</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3" min="3" style="0" width="22"/>
    <col collapsed="false" customWidth="true" hidden="false" outlineLevel="0" max="4" min="4" style="0" width="12"/>
  </cols>
  <sheetData>
    <row r="1" customFormat="false" ht="15" hidden="false" customHeight="false" outlineLevel="0" collapsed="false">
      <c r="A1" s="2" t="s">
        <v>294</v>
      </c>
      <c r="B1" s="2" t="s">
        <v>295</v>
      </c>
      <c r="C1" s="2" t="s">
        <v>296</v>
      </c>
      <c r="D1" s="2" t="s">
        <v>56</v>
      </c>
    </row>
    <row r="2" customFormat="false" ht="30" hidden="false" customHeight="true" outlineLevel="0" collapsed="false">
      <c r="A2" s="11" t="s">
        <v>44</v>
      </c>
      <c r="B2" s="11" t="s">
        <v>297</v>
      </c>
      <c r="C2" s="11" t="s">
        <v>268</v>
      </c>
      <c r="D2" s="11" t="s">
        <v>270</v>
      </c>
    </row>
    <row r="3" customFormat="false" ht="30" hidden="false" customHeight="true" outlineLevel="0" collapsed="false">
      <c r="A3" s="11" t="s">
        <v>44</v>
      </c>
      <c r="B3" s="11" t="s">
        <v>298</v>
      </c>
      <c r="C3" s="11" t="s">
        <v>274</v>
      </c>
      <c r="D3" s="11" t="s">
        <v>270</v>
      </c>
    </row>
    <row r="4" customFormat="false" ht="30" hidden="false" customHeight="true" outlineLevel="0" collapsed="false">
      <c r="A4" s="11" t="s">
        <v>46</v>
      </c>
      <c r="B4" s="11" t="s">
        <v>299</v>
      </c>
      <c r="C4" s="11" t="s">
        <v>284</v>
      </c>
      <c r="D4" s="11" t="s">
        <v>270</v>
      </c>
    </row>
    <row r="5" customFormat="false" ht="30" hidden="false" customHeight="true" outlineLevel="0" collapsed="false">
      <c r="A5" s="11" t="s">
        <v>46</v>
      </c>
      <c r="B5" s="11" t="s">
        <v>300</v>
      </c>
      <c r="C5" s="11" t="s">
        <v>280</v>
      </c>
      <c r="D5" s="11" t="s">
        <v>270</v>
      </c>
    </row>
    <row r="6" customFormat="false" ht="30" hidden="false" customHeight="true" outlineLevel="0" collapsed="false">
      <c r="A6" s="11" t="s">
        <v>9</v>
      </c>
      <c r="B6" s="11" t="s">
        <v>301</v>
      </c>
      <c r="C6" s="11" t="s">
        <v>280</v>
      </c>
      <c r="D6" s="11" t="s">
        <v>270</v>
      </c>
    </row>
    <row r="7" customFormat="false" ht="30" hidden="false" customHeight="true" outlineLevel="0" collapsed="false">
      <c r="A7" s="11" t="s">
        <v>13</v>
      </c>
      <c r="B7" s="11" t="s">
        <v>302</v>
      </c>
      <c r="C7" s="11" t="s">
        <v>268</v>
      </c>
      <c r="D7" s="11" t="s">
        <v>270</v>
      </c>
    </row>
    <row r="8" customFormat="false" ht="30" hidden="false" customHeight="true" outlineLevel="0" collapsed="false">
      <c r="A8" s="11" t="s">
        <v>13</v>
      </c>
      <c r="B8" s="11" t="s">
        <v>303</v>
      </c>
      <c r="C8" s="11" t="s">
        <v>274</v>
      </c>
      <c r="D8" s="11" t="s">
        <v>270</v>
      </c>
    </row>
    <row r="9" customFormat="false" ht="30" hidden="false" customHeight="true" outlineLevel="0" collapsed="false">
      <c r="A9" s="11" t="s">
        <v>14</v>
      </c>
      <c r="B9" s="11" t="s">
        <v>304</v>
      </c>
      <c r="C9" s="11" t="s">
        <v>305</v>
      </c>
      <c r="D9" s="11" t="s">
        <v>270</v>
      </c>
    </row>
    <row r="10" customFormat="false" ht="30" hidden="false" customHeight="true" outlineLevel="0" collapsed="false">
      <c r="A10" s="11" t="s">
        <v>17</v>
      </c>
      <c r="B10" s="11" t="s">
        <v>306</v>
      </c>
      <c r="C10" s="11" t="s">
        <v>280</v>
      </c>
      <c r="D10" s="11" t="s">
        <v>270</v>
      </c>
    </row>
    <row r="11" customFormat="false" ht="30" hidden="false" customHeight="true" outlineLevel="0" collapsed="false">
      <c r="A11" s="11" t="s">
        <v>18</v>
      </c>
      <c r="B11" s="11" t="s">
        <v>307</v>
      </c>
      <c r="C11" s="11" t="s">
        <v>308</v>
      </c>
      <c r="D11" s="11" t="s">
        <v>270</v>
      </c>
    </row>
    <row r="12" customFormat="false" ht="30" hidden="false" customHeight="true" outlineLevel="0" collapsed="false">
      <c r="A12" s="11" t="s">
        <v>20</v>
      </c>
      <c r="B12" s="11" t="s">
        <v>309</v>
      </c>
      <c r="C12" s="11" t="s">
        <v>280</v>
      </c>
      <c r="D12" s="11" t="s">
        <v>270</v>
      </c>
    </row>
    <row r="13" customFormat="false" ht="30" hidden="false" customHeight="true" outlineLevel="0" collapsed="false">
      <c r="A13" s="11" t="s">
        <v>21</v>
      </c>
      <c r="B13" s="11" t="s">
        <v>310</v>
      </c>
      <c r="C13" s="11" t="s">
        <v>280</v>
      </c>
      <c r="D13" s="11" t="s">
        <v>270</v>
      </c>
    </row>
    <row r="14" customFormat="false" ht="30" hidden="false" customHeight="true" outlineLevel="0" collapsed="false">
      <c r="A14" s="11" t="s">
        <v>48</v>
      </c>
      <c r="B14" s="11" t="s">
        <v>311</v>
      </c>
      <c r="C14" s="11" t="s">
        <v>277</v>
      </c>
      <c r="D14" s="11" t="s">
        <v>270</v>
      </c>
    </row>
    <row r="15" customFormat="false" ht="30" hidden="false" customHeight="true" outlineLevel="0" collapsed="false">
      <c r="A15" s="11" t="s">
        <v>48</v>
      </c>
      <c r="B15" s="11" t="s">
        <v>312</v>
      </c>
      <c r="C15" s="11" t="s">
        <v>268</v>
      </c>
      <c r="D15" s="11" t="s">
        <v>270</v>
      </c>
    </row>
    <row r="16" customFormat="false" ht="30" hidden="false" customHeight="true" outlineLevel="0" collapsed="false">
      <c r="A16" s="11" t="s">
        <v>48</v>
      </c>
      <c r="B16" s="11" t="s">
        <v>313</v>
      </c>
      <c r="C16" s="11" t="s">
        <v>277</v>
      </c>
      <c r="D16" s="11" t="s">
        <v>270</v>
      </c>
    </row>
    <row r="17" customFormat="false" ht="30" hidden="false" customHeight="true" outlineLevel="0" collapsed="false">
      <c r="A17" s="11" t="s">
        <v>24</v>
      </c>
      <c r="B17" s="11" t="s">
        <v>314</v>
      </c>
      <c r="C17" s="11" t="s">
        <v>277</v>
      </c>
      <c r="D17" s="11" t="s">
        <v>270</v>
      </c>
    </row>
    <row r="18" customFormat="false" ht="30" hidden="false" customHeight="true" outlineLevel="0" collapsed="false">
      <c r="A18" s="11" t="s">
        <v>24</v>
      </c>
      <c r="B18" s="11" t="s">
        <v>315</v>
      </c>
      <c r="C18" s="11" t="s">
        <v>280</v>
      </c>
      <c r="D18" s="11" t="s">
        <v>270</v>
      </c>
    </row>
    <row r="19" customFormat="false" ht="30" hidden="false" customHeight="true" outlineLevel="0" collapsed="false">
      <c r="A19" s="11" t="s">
        <v>25</v>
      </c>
      <c r="B19" s="11" t="s">
        <v>316</v>
      </c>
      <c r="C19" s="11" t="s">
        <v>277</v>
      </c>
      <c r="D19" s="11" t="s">
        <v>270</v>
      </c>
    </row>
    <row r="20" customFormat="false" ht="30" hidden="false" customHeight="true" outlineLevel="0" collapsed="false">
      <c r="A20" s="11" t="s">
        <v>25</v>
      </c>
      <c r="B20" s="11" t="s">
        <v>317</v>
      </c>
      <c r="C20" s="11" t="s">
        <v>277</v>
      </c>
      <c r="D20" s="11" t="s">
        <v>270</v>
      </c>
    </row>
    <row r="21" customFormat="false" ht="30" hidden="false" customHeight="true" outlineLevel="0" collapsed="false">
      <c r="A21" s="11" t="s">
        <v>27</v>
      </c>
      <c r="B21" s="11" t="s">
        <v>318</v>
      </c>
      <c r="C21" s="11" t="s">
        <v>277</v>
      </c>
      <c r="D21" s="11" t="s">
        <v>270</v>
      </c>
    </row>
    <row r="22" customFormat="false" ht="30" hidden="false" customHeight="true" outlineLevel="0" collapsed="false">
      <c r="A22" s="11" t="s">
        <v>27</v>
      </c>
      <c r="B22" s="11" t="s">
        <v>319</v>
      </c>
      <c r="C22" s="11" t="s">
        <v>277</v>
      </c>
      <c r="D22" s="11" t="s">
        <v>270</v>
      </c>
    </row>
    <row r="23" customFormat="false" ht="30" hidden="false" customHeight="true" outlineLevel="0" collapsed="false">
      <c r="A23" s="11" t="s">
        <v>28</v>
      </c>
      <c r="B23" s="11" t="s">
        <v>320</v>
      </c>
      <c r="C23" s="11" t="s">
        <v>277</v>
      </c>
      <c r="D23" s="11" t="s">
        <v>270</v>
      </c>
    </row>
    <row r="24" customFormat="false" ht="30" hidden="false" customHeight="true" outlineLevel="0" collapsed="false">
      <c r="A24" s="11" t="s">
        <v>29</v>
      </c>
      <c r="B24" s="11" t="s">
        <v>321</v>
      </c>
      <c r="C24" s="11" t="s">
        <v>277</v>
      </c>
      <c r="D24" s="11" t="s">
        <v>270</v>
      </c>
    </row>
    <row r="25" customFormat="false" ht="30" hidden="false" customHeight="true" outlineLevel="0" collapsed="false">
      <c r="A25" s="11" t="s">
        <v>29</v>
      </c>
      <c r="B25" s="11" t="s">
        <v>322</v>
      </c>
      <c r="C25" s="11" t="s">
        <v>277</v>
      </c>
      <c r="D25" s="11" t="s">
        <v>270</v>
      </c>
    </row>
    <row r="26" customFormat="false" ht="30" hidden="false" customHeight="true" outlineLevel="0" collapsed="false">
      <c r="A26" s="11" t="s">
        <v>34</v>
      </c>
      <c r="B26" s="11" t="s">
        <v>323</v>
      </c>
      <c r="C26" s="11" t="s">
        <v>280</v>
      </c>
      <c r="D26" s="11" t="s">
        <v>270</v>
      </c>
    </row>
    <row r="27" customFormat="false" ht="30" hidden="false" customHeight="true" outlineLevel="0" collapsed="false">
      <c r="A27" s="11" t="s">
        <v>35</v>
      </c>
      <c r="B27" s="11" t="s">
        <v>324</v>
      </c>
      <c r="C27" s="11" t="s">
        <v>280</v>
      </c>
      <c r="D27" s="11" t="s">
        <v>270</v>
      </c>
    </row>
    <row r="28" customFormat="false" ht="30" hidden="false" customHeight="true" outlineLevel="0" collapsed="false">
      <c r="A28" s="11" t="s">
        <v>35</v>
      </c>
      <c r="B28" s="11" t="s">
        <v>325</v>
      </c>
      <c r="C28" s="11" t="s">
        <v>280</v>
      </c>
      <c r="D28" s="11" t="s">
        <v>270</v>
      </c>
    </row>
    <row r="29" customFormat="false" ht="30" hidden="false" customHeight="true" outlineLevel="0" collapsed="false">
      <c r="A29" s="11" t="s">
        <v>36</v>
      </c>
      <c r="B29" s="11" t="s">
        <v>326</v>
      </c>
      <c r="C29" s="11" t="s">
        <v>277</v>
      </c>
      <c r="D29" s="11" t="s">
        <v>270</v>
      </c>
    </row>
    <row r="31" customFormat="false" ht="15" hidden="false" customHeight="false" outlineLevel="0" collapsed="false">
      <c r="A31" s="10" t="s">
        <v>327</v>
      </c>
      <c r="B31" s="10" t="n">
        <f aca="false">COUNTA(A2:A29)</f>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2026-06-27T21:06:25Z</dcterms:created>
  <dc:creator>openpyxl</dc:creator>
  <dc:description/>
  <dc:language>en-US</dc:language>
  <cp:lastModifiedBy/>
  <dcterms:modified xsi:type="dcterms:W3CDTF">2026-06-27T21:06:25Z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